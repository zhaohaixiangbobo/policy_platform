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af746e125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db74cf57c964858"/>
    <x:sheet xmlns:r="http://schemas.openxmlformats.org/officeDocument/2006/relationships" name="现有测试资产" sheetId="2" r:id="R9897e6c2d54543f9"/>
    <x:sheet xmlns:r="http://schemas.openxmlformats.org/officeDocument/2006/relationships" name="员工问题征集" sheetId="3" r:id="R3a99957156424526"/>
    <x:sheet xmlns:r="http://schemas.openxmlformats.org/officeDocument/2006/relationships" name="专家金标" sheetId="4" r:id="R2478e2ae6257492e"/>
    <x:sheet xmlns:r="http://schemas.openxmlformats.org/officeDocument/2006/relationships" name="证据标注" sheetId="5" r:id="Rf0050aeb64924f91"/>
    <x:sheet xmlns:r="http://schemas.openxmlformats.org/officeDocument/2006/relationships" name="人工执行记录" sheetId="6" r:id="R31c1bfeca16c44cc"/>
    <x:sheet xmlns:r="http://schemas.openxmlformats.org/officeDocument/2006/relationships" name="配额建议" sheetId="7" r:id="Rf8e90c1230dc43b5"/>
    <x:sheet xmlns:r="http://schemas.openxmlformats.org/officeDocument/2006/relationships" name="字段字典" sheetId="8" r:id="Rc7c9a5ea44cd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%"/>
  </x:numFmts>
  <x:fonts count="8">
    <x:font>
      <x:sz val="11"/>
      <x:name val="Carlito"/>
    </x:font>
    <x:font>
      <x:b/>
      <x:sz val="16"/>
      <x:color rgb="FF17365D"/>
      <x:name val="Microsoft YaHei"/>
    </x:font>
    <x:font>
      <x:i/>
      <x:sz val="10"/>
      <x:color rgb="FF5B6573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1"/>
      <x:color rgb="FF17365D"/>
      <x:name val="Microsoft YaHei"/>
    </x:font>
    <x:font>
      <x:b/>
      <x:sz val="10"/>
      <x:color rgb="FF1F2937"/>
      <x:name val="Microsoft YaHei"/>
    </x:font>
    <x:font>
      <x:i/>
      <x:sz val="10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4CC"/>
      </x:patternFill>
    </x:fill>
    <x:fill>
      <x:patternFill patternType="solid">
        <x:fgColor rgb="FFF1F5F9"/>
      </x:patternFill>
    </x:fill>
    <x:fill>
      <x:patternFill patternType="solid">
        <x:fgColor rgb="FFDCE6F1"/>
      </x:patternFill>
    </x:fill>
  </x:fills>
  <x:borders count="5">
    <x:border/>
    <x:border>
      <x:bottom style="thin">
        <x:color rgb="FF9FBAD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200" fontId="4" fillId="0" borderId="3" xfId="0" applyNumberFormat="1" applyFont="1" applyFill="1" applyBorder="1" applyAlignment="1">
      <x:alignment horizontal="center" vertical="top" wrapText="1"/>
    </x:xf>
    <x:xf numFmtId="200" fontId="4" fillId="0" borderId="4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/>
    <x:xf numFmtId="201" fontId="4" fillId="3" borderId="0" xfId="0" applyNumberFormat="1" applyFont="1" applyFill="1" applyBorder="1"/>
    <x:xf numFmtId="201" fontId="4" fillId="3" borderId="0" xfId="0" applyNumberFormat="1" applyFont="1" applyFill="1" applyBorder="1" applyAlignment="1">
      <x:alignment vertical="top"/>
    </x:xf>
    <x:xf numFmtId="201" fontId="4" fillId="3" borderId="0" xfId="0" applyNumberFormat="1" applyFont="1" applyFill="1" applyBorder="1" applyAlignment="1">
      <x:alignment vertical="top" wrapText="1"/>
    </x:xf>
    <x:xf numFmtId="201" fontId="4" fillId="3" borderId="3" xfId="0" applyNumberFormat="1" applyFont="1" applyFill="1" applyBorder="1" applyAlignment="1">
      <x:alignment vertical="top" wrapText="1"/>
    </x:xf>
    <x:xf numFmtId="201" fontId="4" fillId="3" borderId="4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6" fillId="2" borderId="2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/>
    <x:xf numFmtId="0" fontId="4" fillId="0" borderId="1" xfId="0" applyNumberFormat="1" applyFont="1" applyFill="1" applyBorder="1"/>
    <x:xf numFmtId="0" fontId="7" fillId="0" borderId="0" xfId="0" applyNumberFormat="1" applyFont="1" applyFill="1" applyBorder="1"/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  <x:dxfs count="17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9679f2e2844dd" /><Relationship Type="http://schemas.openxmlformats.org/officeDocument/2006/relationships/theme" Target="/xl/theme/theme1.xml" Id="R1c5894dacce54ebc" /><Relationship Type="http://schemas.openxmlformats.org/officeDocument/2006/relationships/sharedStrings" Target="/xl/sharedStrings.xml" Id="R688432718ff04964" /><Relationship Type="http://schemas.openxmlformats.org/officeDocument/2006/relationships/worksheet" Target="/xl/worksheets/sheet1.xml" Id="Rbdb74cf57c964858" /><Relationship Type="http://schemas.openxmlformats.org/officeDocument/2006/relationships/worksheet" Target="/xl/worksheets/sheet2.xml" Id="R9897e6c2d54543f9" /><Relationship Type="http://schemas.openxmlformats.org/officeDocument/2006/relationships/worksheet" Target="/xl/worksheets/sheet3.xml" Id="R3a99957156424526" /><Relationship Type="http://schemas.openxmlformats.org/officeDocument/2006/relationships/worksheet" Target="/xl/worksheets/sheet4.xml" Id="R2478e2ae6257492e" /><Relationship Type="http://schemas.openxmlformats.org/officeDocument/2006/relationships/worksheet" Target="/xl/worksheets/sheet5.xml" Id="Rf0050aeb64924f91" /><Relationship Type="http://schemas.openxmlformats.org/officeDocument/2006/relationships/worksheet" Target="/xl/worksheets/sheet6.xml" Id="R31c1bfeca16c44cc" /><Relationship Type="http://schemas.openxmlformats.org/officeDocument/2006/relationships/worksheet" Target="/xl/worksheets/sheet7.xml" Id="Rf8e90c1230dc43b5" /><Relationship Type="http://schemas.openxmlformats.org/officeDocument/2006/relationships/worksheet" Target="/xl/worksheets/sheet8.xml" Id="Rc7c9a5ea44cd4e37" /></Relationships>
</file>

<file path=xl/tables/table1.xml><?xml version="1.0" encoding="utf-8"?>
<x:table xmlns:x="http://schemas.openxmlformats.org/spreadsheetml/2006/main" id="1" name="CurrentTestAssets" displayName="CurrentTestAssets" ref="A4:J13" headerRowCount="1" totalsRowCount="0" totalsRowShown="0">
  <x:tableColumns count="10">
    <x:tableColumn id="1" name="阶段或资产"/>
    <x:tableColumn id="2" name="规模"/>
    <x:tableColumn id="3" name="ANSWER"/>
    <x:tableColumn id="4" name="INSUFFICIENT_EVIDENCE"/>
    <x:tableColumn id="5" name="CONFLICT"/>
    <x:tableColumn id="6" name="主要用途"/>
    <x:tableColumn id="7" name="当前限制"/>
    <x:tableColumn id="8" name="数据来源"/>
    <x:tableColumn id="9" name="是否可用于调优"/>
    <x:tableColumn id="10" name="后续动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ployeeQuestionCollection" displayName="EmployeeQuestionCollection" ref="A4:Q204" headerRowCount="1" totalsRowCount="0" totalsRowShown="0">
  <x:tableColumns count="17">
    <x:tableColumn id="1" name="征集编号"/>
    <x:tableColumn id="2" name="提交批次"/>
    <x:tableColumn id="3" name="业务领域"/>
    <x:tableColumn id="4" name="提交人角色"/>
    <x:tableColumn id="5" name="真实业务场景"/>
    <x:tableColumn id="6" name="用户原话"/>
    <x:tableColumn id="7" name="追问或上下文"/>
    <x:tableColumn id="8" name="题型初判"/>
    <x:tableColumn id="9" name="难度初判"/>
    <x:tableColumn id="10" name="认为结果类型"/>
    <x:tableColumn id="11" name="认为依据制度"/>
    <x:tableColumn id="12" name="认为关键答案点"/>
    <x:tableColumn id="13" name="认为证据原文或条款"/>
    <x:tableColumn id="14" name="常见误区或近似错误说法"/>
    <x:tableColumn id="15" name="是否含敏感信息"/>
    <x:tableColumn id="16" name="提交备注"/>
    <x:tableColumn id="17" name="员工自检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pertGoldCases" displayName="ExpertGoldCases" ref="A4:W204" headerRowCount="1" totalsRowCount="0" totalsRowShown="0">
  <x:tableColumns count="23">
    <x:tableColumn id="1" name="case_id"/>
    <x:tableColumn id="2" name="征集编号"/>
    <x:tableColumn id="3" name="数据分区"/>
    <x:tableColumn id="4" name="paraphrase_group_id"/>
    <x:tableColumn id="5" name="标准化问题"/>
    <x:tableColumn id="6" name="业务领域"/>
    <x:tableColumn id="7" name="题型"/>
    <x:tableColumn id="8" name="难度"/>
    <x:tableColumn id="9" name="query_scope"/>
    <x:tableColumn id="10" name="预期状态"/>
    <x:tableColumn id="11" name="必答关键点"/>
    <x:tableColumn id="12" name="可选补充点"/>
    <x:tableColumn id="13" name="禁止输出点"/>
    <x:tableColumn id="14" name="证据满足方式"/>
    <x:tableColumn id="15" name="证据不足原因"/>
    <x:tableColumn id="16" name="冲突主题"/>
    <x:tableColumn id="17" name="冲突立场数"/>
    <x:tableColumn id="18" name="复核人角色"/>
    <x:tableColumn id="19" name="复核状态"/>
    <x:tableColumn id="20" name="数据集版本"/>
    <x:tableColumn id="21" name="适用日期"/>
    <x:tableColumn id="22" name="备注"/>
    <x:tableColumn id="23" name="完整性检查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EvidenceAnnotations" displayName="EvidenceAnnotations" ref="A4:Z204" headerRowCount="1" totalsRowCount="0" totalsRowShown="0">
  <x:tableColumns count="26">
    <x:tableColumn id="1" name="evidence_id"/>
    <x:tableColumn id="2" name="case_id"/>
    <x:tableColumn id="3" name="claim_or_position_id"/>
    <x:tableColumn id="4" name="证据角色"/>
    <x:tableColumn id="5" name="支持关系"/>
    <x:tableColumn id="6" name="evidence_match_mode"/>
    <x:tableColumn id="7" name="document_id"/>
    <x:tableColumn id="8" name="document_title"/>
    <x:tableColumn id="9" name="document_code"/>
    <x:tableColumn id="10" name="document_status"/>
    <x:tableColumn id="11" name="primary_node_id"/>
    <x:tableColumn id="12" name="path_text"/>
    <x:tableColumn id="13" name="page_start"/>
    <x:tableColumn id="14" name="page_end"/>
    <x:tableColumn id="15" name="quote"/>
    <x:tableColumn id="16" name="citation_version"/>
    <x:tableColumn id="17" name="evidence_uid_version"/>
    <x:tableColumn id="18" name="evidence_uid"/>
    <x:tableColumn id="19" name="parse_run_id"/>
    <x:tableColumn id="20" name="chunk_run_id"/>
    <x:tableColumn id="21" name="index_run_id"/>
    <x:tableColumn id="22" name="chunk_id"/>
    <x:tableColumn id="23" name="snapshot_hash"/>
    <x:tableColumn id="24" name="复核状态"/>
    <x:tableColumn id="25" name="备注"/>
    <x:tableColumn id="26" name="完整性检查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ManualEvaluationRuns" displayName="ManualEvaluationRuns" ref="A4:AA204" headerRowCount="1" totalsRowCount="0" totalsRowShown="0">
  <x:tableColumns count="27">
    <x:tableColumn id="1" name="eval_run_id"/>
    <x:tableColumn id="2" name="case_id"/>
    <x:tableColumn id="3" name="dataset_version"/>
    <x:tableColumn id="4" name="test_date"/>
    <x:tableColumn id="5" name="tester_role"/>
    <x:tableColumn id="6" name="environment"/>
    <x:tableColumn id="7" name="query_scope"/>
    <x:tableColumn id="8" name="actual_status"/>
    <x:tableColumn id="9" name="status_correct"/>
    <x:tableColumn id="10" name="actual_answer_summary"/>
    <x:tableColumn id="11" name="key_point_score"/>
    <x:tableColumn id="12" name="evidence_support_score"/>
    <x:tableColumn id="13" name="citation_completeness_score"/>
    <x:tableColumn id="14" name="citation_location_score"/>
    <x:tableColumn id="15" name="hallucination"/>
    <x:tableColumn id="16" name="conflict_bilateral_score"/>
    <x:tableColumn id="17" name="overall_result"/>
    <x:tableColumn id="18" name="failure_type"/>
    <x:tableColumn id="19" name="request_id"/>
    <x:tableColumn id="20" name="engine_request_id"/>
    <x:tableColumn id="21" name="contract_version"/>
    <x:tableColumn id="22" name="index_run_id"/>
    <x:tableColumn id="23" name="quality_gate_version"/>
    <x:tableColumn id="24" name="rag_version"/>
    <x:tableColumn id="25" name="prompt_version"/>
    <x:tableColumn id="26" name="citation_labels"/>
    <x:tableColumn id="27" name="comments"/>
  </x:tableColumns>
  <x:tableStyleInfo name="TableStyleMedium5" showFirstColumn="0" showLastColumn="0" showRowStripes="1" showColumnStripes="0"/>
</x:table>
</file>

<file path=xl/tables/table6.xml><?xml version="1.0" encoding="utf-8"?>
<x:table xmlns:x="http://schemas.openxmlformats.org/spreadsheetml/2006/main" id="6" name="FieldDictionary" displayName="FieldDictionary" ref="A4:F22" headerRowCount="1" totalsRowCount="0" totalsRowShown="0">
  <x:tableColumns count="6">
    <x:tableColumn id="1" name="字段或枚举"/>
    <x:tableColumn id="2" name="允许值"/>
    <x:tableColumn id="3" name="填写人"/>
    <x:tableColumn id="4" name="定义"/>
    <x:tableColumn id="5" name="示例"/>
    <x:tableColumn id="6" name="注意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b3a333fde342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5b062cd5584a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13f3e7844747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27b1de61944f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faa1f928d245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7505998004f43fb" /></Relationships>
</file>

<file path=xl/worksheets/sheet1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3" hidden="0" customWidth="1"/>
    <x:col min="4" max="4" width="18" hidden="0" customWidth="1"/>
    <x:col min="5" max="5" width="45" hidden="0" customWidth="1"/>
    <x:col min="6" max="6" width="23" hidden="0" customWidth="1"/>
    <x:col min="7" max="7" width="36" hidden="0" customWidth="1"/>
    <x:col min="8" max="8" width="32" hidden="0" customWidth="1"/>
  </x:cols>
  <x:sheetData>
    <x:row r="1" ht="25" customHeight="1">
      <x:c r="A1" s="15" t="str">
        <x:v>制度知识 RAG 人工测试集</x:v>
      </x:c>
      <x:c r="B1" s="53"/>
      <x:c r="C1" s="53"/>
      <x:c r="D1" s="53"/>
      <x:c r="E1" s="53"/>
      <x:c r="F1" s="53"/>
      <x:c r="G1" s="53"/>
      <x:c r="H1" s="53"/>
    </x:row>
    <x:row r="2" ht="25" customHeight="1">
      <x:c r="A2" s="54" t="str">
        <x:v>员工提交真实问题，业务专家形成金标，测试人员通过公开问答响应完成复核。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 ht="36" customHeight="1">
      <x:c r="A4" s="55" t="str">
        <x:v>角色</x:v>
      </x:c>
      <x:c r="B4" s="55" t="str">
        <x:v>填写范围</x:v>
      </x:c>
      <x:c r="C4" s="11"/>
      <x:c r="D4" s="55" t="str">
        <x:v>示例类型</x:v>
      </x:c>
      <x:c r="E4" s="55" t="str">
        <x:v>员工问题</x:v>
      </x:c>
      <x:c r="F4" s="55" t="str">
        <x:v>专家预期状态</x:v>
      </x:c>
      <x:c r="G4" s="55" t="str">
        <x:v>金标重点</x:v>
      </x:c>
      <x:c r="H4" s="55" t="str">
        <x:v>说明</x:v>
      </x:c>
    </x:row>
    <x:row r="5">
      <x:c r="A5" s="13" t="str">
        <x:v>单位员工</x:v>
      </x:c>
      <x:c r="B5" s="13" t="str">
        <x:v>只填写“员工问题征集”。保留真实口吻，补充业务场景并完成脱敏；不知道答案或制度时可以留空。</x:v>
      </x:c>
      <x:c r="C5" s="11"/>
      <x:c r="D5" s="13" t="str">
        <x:v>可回答</x:v>
      </x:c>
      <x:c r="E5" s="13" t="str">
        <x:v>我下个月到法定退休年龄，手续办完后待遇从哪个月开始？</x:v>
      </x:c>
      <x:c r="F5" s="13" t="str">
        <x:v>ANSWER</x:v>
      </x:c>
      <x:c r="G5" s="13" t="str">
        <x:v>拆出适用人员、时间起点和待遇执行月份；逐项绑定证据。</x:v>
      </x:c>
      <x:c r="H5" s="13" t="str">
        <x:v>只演示格式，不得作为新题提交。</x:v>
      </x:c>
    </x:row>
    <x:row r="6">
      <x:c r="A6" s="14" t="str">
        <x:v>业务专家</x:v>
      </x:c>
      <x:c r="B6" s="14" t="str">
        <x:v>填写“专家金标”和“证据标注”。核对有效制度、必答关键点、适用条件和证据原文。</x:v>
      </x:c>
      <x:c r="C6" s="11"/>
      <x:c r="D6" s="14" t="str">
        <x:v>证据不足</x:v>
      </x:c>
      <x:c r="E6" s="14" t="str">
        <x:v>制度里有没有写食堂本周菜单？</x:v>
      </x:c>
      <x:c r="F6" s="14" t="str">
        <x:v>INSUFFICIENT_EVIDENCE</x:v>
      </x:c>
      <x:c r="G6" s="14" t="str">
        <x:v>说明制度库未提供该事实，不输出猜测的菜单内容。</x:v>
      </x:c>
      <x:c r="H6" s="14" t="str">
        <x:v>拒答题要有合理边界，不靠低相似度定义。</x:v>
      </x:c>
    </x:row>
    <x:row r="7">
      <x:c r="A7" s="14" t="str">
        <x:v>测试负责人</x:v>
      </x:c>
      <x:c r="B7" s="14" t="str">
        <x:v>分配 DEV/HOLDOUT/REGRESSION/PERF，冻结数据集版本，并填写“人工执行记录”。</x:v>
      </x:c>
      <x:c r="C7" s="11"/>
      <x:c r="D7" s="14" t="str">
        <x:v>冲突</x:v>
      </x:c>
      <x:c r="E7" s="14" t="str">
        <x:v>新办法和旧通知对同一事项的办理时限不同，现在应该按哪个执行？</x:v>
      </x:c>
      <x:c r="F7" s="14" t="str">
        <x:v>CONFLICT</x:v>
      </x:c>
      <x:c r="G7" s="14" t="str">
        <x:v>先确认两份制度及效力范围，再列出双方规定和各自证据。</x:v>
      </x:c>
      <x:c r="H7" s="14" t="str">
        <x:v>示例不代表实际存在冲突。</x:v>
      </x:c>
    </x:row>
    <x:row r="8">
      <x:c r="A8" s="11"/>
      <x:c r="B8" s="11"/>
      <x:c r="C8" s="11"/>
      <x:c r="D8" s="11"/>
      <x:c r="E8" s="11"/>
      <x:c r="F8" s="11"/>
      <x:c r="G8" s="11"/>
      <x:c r="H8" s="11"/>
    </x:row>
    <x:row r="9" ht="36" customHeight="1">
      <x:c r="A9" s="55" t="str">
        <x:v>必须遵守</x:v>
      </x:c>
      <x:c r="B9" s="55" t="str">
        <x:v>具体要求</x:v>
      </x:c>
      <x:c r="C9" s="11"/>
      <x:c r="D9" s="55" t="str">
        <x:v>数据分区</x:v>
      </x:c>
      <x:c r="E9" s="55" t="str">
        <x:v>用途</x:v>
      </x:c>
      <x:c r="F9" s="55" t="str">
        <x:v>研发可见金标</x:v>
      </x:c>
      <x:c r="G9" s="55" t="str">
        <x:v>允许调优</x:v>
      </x:c>
      <x:c r="H9" s="55" t="str">
        <x:v>管理要求</x:v>
      </x:c>
    </x:row>
    <x:row r="10">
      <x:c r="A10" s="13" t="str">
        <x:v>一行一个问题</x:v>
      </x:c>
      <x:c r="B10" s="13" t="str">
        <x:v>问题包含连续追问时，把共同前提写在“追问或上下文”；不要把无关问题拼成一题。</x:v>
      </x:c>
      <x:c r="C10" s="11"/>
      <x:c r="D10" s="13" t="str">
        <x:v>DEV</x:v>
      </x:c>
      <x:c r="E10" s="13" t="str">
        <x:v>开发和日常回归</x:v>
      </x:c>
      <x:c r="F10" s="13" t="str">
        <x:v>是</x:v>
      </x:c>
      <x:c r="G10" s="13" t="str">
        <x:v>是</x:v>
      </x:c>
      <x:c r="H10" s="13" t="str">
        <x:v>记录数据集版本和首次失败原因。</x:v>
      </x:c>
    </x:row>
    <x:row r="11">
      <x:c r="A11" s="14" t="str">
        <x:v>保留真实语言</x:v>
      </x:c>
      <x:c r="B11" s="14" t="str">
        <x:v>允许口语、简称、省略和常见错别字；同时保证业务人员可以理解。</x:v>
      </x:c>
      <x:c r="C11" s="11"/>
      <x:c r="D11" s="14" t="str">
        <x:v>HOLDOUT</x:v>
      </x:c>
      <x:c r="E11" s="14" t="str">
        <x:v>独立验收和发布门禁</x:v>
      </x:c>
      <x:c r="F11" s="14" t="str">
        <x:v>否</x:v>
      </x:c>
      <x:c r="G11" s="14" t="str">
        <x:v>否</x:v>
      </x:c>
      <x:c r="H11" s="14" t="str">
        <x:v>由验收负责人单独保管，不向研发泄漏答案。</x:v>
      </x:c>
    </x:row>
    <x:row r="12">
      <x:c r="A12" s="14" t="str">
        <x:v>补充决定性条件</x:v>
      </x:c>
      <x:c r="B12" s="14" t="str">
        <x:v>人物、岗位、事项、日期、金额、地区和制度版本会改变答案时必须写清。</x:v>
      </x:c>
      <x:c r="C12" s="11"/>
      <x:c r="D12" s="14" t="str">
        <x:v>REGRESSION</x:v>
      </x:c>
      <x:c r="E12" s="14" t="str">
        <x:v>已确认的真实失败</x:v>
      </x:c>
      <x:c r="F12" s="14" t="str">
        <x:v>是</x:v>
      </x:c>
      <x:c r="G12" s="14" t="str">
        <x:v>是</x:v>
      </x:c>
      <x:c r="H12" s="14" t="str">
        <x:v>保留失败响应、修复版本和回归结果。</x:v>
      </x:c>
    </x:row>
    <x:row r="13">
      <x:c r="A13" s="14" t="str">
        <x:v>不知道就留空</x:v>
      </x:c>
      <x:c r="B13" s="14" t="str">
        <x:v>员工不负责最终答案和证据，禁止为了填满表格而猜测。</x:v>
      </x:c>
      <x:c r="C13" s="11"/>
      <x:c r="D13" s="14" t="str">
        <x:v>PERF</x:v>
      </x:c>
      <x:c r="E13" s="14" t="str">
        <x:v>暖态耗时和并发容量</x:v>
      </x:c>
      <x:c r="F13" s="14" t="str">
        <x:v>是</x:v>
      </x:c>
      <x:c r="G13" s="14" t="str">
        <x:v>仅固定负载</x:v>
      </x:c>
      <x:c r="H13" s="14" t="str">
        <x:v>与质量评测分开，不提前冻结 SLA。</x:v>
      </x:c>
    </x:row>
    <x:row r="14">
      <x:c r="A14" s="14" t="str">
        <x:v>先脱敏</x:v>
      </x:c>
      <x:c r="B14" s="14" t="str">
        <x:v>不填写姓名、身份证号、手机号、账号、案件细节等个人或敏感信息。</x:v>
      </x:c>
      <x:c r="C14" s="11"/>
      <x:c r="D14" s="11"/>
      <x:c r="E14" s="11"/>
      <x:c r="F14" s="11"/>
      <x:c r="G14" s="11"/>
      <x:c r="H14" s="11"/>
    </x:row>
    <x:row r="15">
      <x:c r="A15" s="14" t="str">
        <x:v>不虚构冲突</x:v>
      </x:c>
      <x:c r="B15" s="14" t="str">
        <x:v>CONFLICT 只能由专家依据两份或多份真实有效证据确认，每个立场均需证据。</x:v>
      </x:c>
      <x:c r="C15" s="11"/>
      <x:c r="D15" s="11"/>
      <x:c r="E15" s="11"/>
      <x:c r="F15" s="11"/>
      <x:c r="G15" s="11"/>
      <x:c r="H15" s="11"/>
    </x:row>
    <x:row r="16">
      <x:c r="A16" s="14" t="str">
        <x:v>不泄漏盲测</x:v>
      </x:c>
      <x:c r="B16" s="14" t="str">
        <x:v>同一知识点的不同改写使用同一个 paraphrase_group_id，并整体进入同一数据分区。</x:v>
      </x:c>
      <x:c r="C16" s="11"/>
      <x:c r="D16" s="11"/>
      <x:c r="E16" s="11"/>
      <x:c r="F16" s="11"/>
      <x:c r="G16" s="11"/>
      <x:c r="H16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1" hidden="0" customWidth="1"/>
    <x:col min="3" max="3" width="15" hidden="0" customWidth="1"/>
    <x:col min="4" max="4" width="25" hidden="0" customWidth="1"/>
    <x:col min="5" max="5" width="13" hidden="0" customWidth="1"/>
    <x:col min="6" max="6" width="42" hidden="0" customWidth="1"/>
    <x:col min="7" max="7" width="42" hidden="0" customWidth="1"/>
    <x:col min="8" max="8" width="40" hidden="0" customWidth="1"/>
    <x:col min="9" max="9" width="20" hidden="0" customWidth="1"/>
    <x:col min="10" max="10" width="40" hidden="0" customWidth="1"/>
  </x:cols>
  <x:sheetData>
    <x:row r="1" ht="25" customHeight="1">
      <x:c r="A1" s="2" t="str">
        <x:v>现有测试资产</x:v>
      </x:c>
      <x:c r="B1" s="57"/>
      <x:c r="C1" s="57"/>
      <x:c r="D1" s="57"/>
      <x:c r="E1" s="57"/>
      <x:c r="F1" s="57"/>
      <x:c r="G1" s="57"/>
      <x:c r="H1" s="57"/>
      <x:c r="I1" s="57"/>
      <x:c r="J1" s="57"/>
    </x:row>
    <x:row r="2" ht="25" customHeight="1">
      <x:c r="A2" s="58" t="str">
        <x:v>规模和限制基于当前项目文档及 RAG 工程已保存的评测数据。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36" customHeight="1">
      <x:c r="A4" s="59" t="str">
        <x:v>阶段或资产</x:v>
      </x:c>
      <x:c r="B4" s="59" t="str">
        <x:v>规模</x:v>
      </x:c>
      <x:c r="C4" s="59" t="str">
        <x:v>ANSWER</x:v>
      </x:c>
      <x:c r="D4" s="59" t="str">
        <x:v>INSUFFICIENT_EVIDENCE</x:v>
      </x:c>
      <x:c r="E4" s="59" t="str">
        <x:v>CONFLICT</x:v>
      </x:c>
      <x:c r="F4" s="59" t="str">
        <x:v>主要用途</x:v>
      </x:c>
      <x:c r="G4" s="59" t="str">
        <x:v>当前限制</x:v>
      </x:c>
      <x:c r="H4" s="59" t="str">
        <x:v>数据来源</x:v>
      </x:c>
      <x:c r="I4" s="59" t="str">
        <x:v>是否可用于调优</x:v>
      </x:c>
      <x:c r="J4" s="59" t="str">
        <x:v>后续动作</x:v>
      </x:c>
    </x:row>
    <x:row r="5">
      <x:c r="A5" s="13" t="str">
        <x:v>M0/M1 浏览器与工程冒烟</x:v>
      </x:c>
      <x:c r="B5" s="22" t="str">
        <x:v>Chrome 89 清单 12 步</x:v>
      </x:c>
      <x:c r="C5" s="22" t="str">
        <x:v>不适用</x:v>
      </x:c>
      <x:c r="D5" s="22" t="str">
        <x:v>不适用</x:v>
      </x:c>
      <x:c r="E5" s="22" t="str">
        <x:v>不适用</x:v>
      </x:c>
      <x:c r="F5" s="13" t="str">
        <x:v>生产构建、导航、组件、键盘和控制台</x:v>
      </x:c>
      <x:c r="G5" s="13" t="str">
        <x:v>不评价 RAG 内容质量</x:v>
      </x:c>
      <x:c r="H5" s="13" t="str">
        <x:v>docs/testing/CHROME_89_SMOKE.md</x:v>
      </x:c>
      <x:c r="I5" s="13" t="str">
        <x:v>不适用</x:v>
      </x:c>
      <x:c r="J5" s="13" t="str">
        <x:v>Chrome 89 由用户在其他机器验证</x:v>
      </x:c>
    </x:row>
    <x:row r="6">
      <x:c r="A6" s="14" t="str">
        <x:v>Dense 检索冒烟</x:v>
      </x:c>
      <x:c r="B6" s="23" t="n">
        <x:v>30</x:v>
      </x:c>
      <x:c r="C6" s="23" t="n">
        <x:v>28</x:v>
      </x:c>
      <x:c r="D6" s="23" t="n">
        <x:v>2</x:v>
      </x:c>
      <x:c r="E6" s="23" t="n">
        <x:v>0</x:v>
      </x:c>
      <x:c r="F6" s="14" t="str">
        <x:v>快速检查 Dense/Rerank 召回和证据命中</x:v>
      </x:c>
      <x:c r="G6" s="14" t="str">
        <x:v>只覆盖早期 5 份制度</x:v>
      </x:c>
      <x:c r="H6" s="14" t="str">
        <x:v>dense_smoke_questions.json</x:v>
      </x:c>
      <x:c r="I6" s="14" t="str">
        <x:v>是</x:v>
      </x:c>
      <x:c r="J6" s="14" t="str">
        <x:v>保留为快速回归</x:v>
      </x:c>
    </x:row>
    <x:row r="7">
      <x:c r="A7" s="14" t="str">
        <x:v>员工口语挑战</x:v>
      </x:c>
      <x:c r="B7" s="23" t="n">
        <x:v>30</x:v>
      </x:c>
      <x:c r="C7" s="23" t="n">
        <x:v>25</x:v>
      </x:c>
      <x:c r="D7" s="23" t="n">
        <x:v>5</x:v>
      </x:c>
      <x:c r="E7" s="23" t="n">
        <x:v>0</x:v>
      </x:c>
      <x:c r="F7" s="14" t="str">
        <x:v>口语、省略、否定、场景和计算召回</x:v>
      </x:c>
      <x:c r="G7" s="14" t="str">
        <x:v>只覆盖早期 5 份制度</x:v>
      </x:c>
      <x:c r="H7" s="14" t="str">
        <x:v>colloquial_employee_questions.json</x:v>
      </x:c>
      <x:c r="I7" s="14" t="str">
        <x:v>是</x:v>
      </x:c>
      <x:c r="J7" s="14" t="str">
        <x:v>用本轮员工原话扩展</x:v>
      </x:c>
    </x:row>
    <x:row r="8">
      <x:c r="A8" s="14" t="str">
        <x:v>120 题检索开发集</x:v>
      </x:c>
      <x:c r="B8" s="23" t="n">
        <x:v>120</x:v>
      </x:c>
      <x:c r="C8" s="23" t="n">
        <x:v>113</x:v>
      </x:c>
      <x:c r="D8" s="23" t="n">
        <x:v>7</x:v>
      </x:c>
      <x:c r="E8" s="23" t="n">
        <x:v>0</x:v>
      </x:c>
      <x:c r="F8" s="14" t="str">
        <x:v>TopK、多证据、难度和检索配置调优</x:v>
      </x:c>
      <x:c r="G8" s="14" t="str">
        <x:v>已参与调优，不是独立验收集</x:v>
      </x:c>
      <x:c r="H8" s="14" t="str">
        <x:v>development_120_questions.json</x:v>
      </x:c>
      <x:c r="I8" s="14" t="str">
        <x:v>是</x:v>
      </x:c>
      <x:c r="J8" s="14" t="str">
        <x:v>继续作为 DEV 回归</x:v>
      </x:c>
    </x:row>
    <x:row r="9">
      <x:c r="A9" s="14" t="str">
        <x:v>Stage 3 固定冒烟</x:v>
      </x:c>
      <x:c r="B9" s="23" t="n">
        <x:v>15</x:v>
      </x:c>
      <x:c r="C9" s="23" t="str">
        <x:v>来自开发集</x:v>
      </x:c>
      <x:c r="D9" s="23" t="str">
        <x:v>来自开发集</x:v>
      </x:c>
      <x:c r="E9" s="23" t="n">
        <x:v>0</x:v>
      </x:c>
      <x:c r="F9" s="14" t="str">
        <x:v>端到端链路、公开结构和基本耗时</x:v>
      </x:c>
      <x:c r="G9" s="14" t="str">
        <x:v>小样本不代表答案正确率</x:v>
      </x:c>
      <x:c r="H9" s="14" t="str">
        <x:v>run_stage3_smoke.py</x:v>
      </x:c>
      <x:c r="I9" s="14" t="str">
        <x:v>是</x:v>
      </x:c>
      <x:c r="J9" s="14" t="str">
        <x:v>保持固定案例 ID</x:v>
      </x:c>
    </x:row>
    <x:row r="10">
      <x:c r="A10" s="14" t="str">
        <x:v>Stage 4 端到端开发评测</x:v>
      </x:c>
      <x:c r="B10" s="23" t="n">
        <x:v>120</x:v>
      </x:c>
      <x:c r="C10" s="23" t="n">
        <x:v>113</x:v>
      </x:c>
      <x:c r="D10" s="23" t="n">
        <x:v>7</x:v>
      </x:c>
      <x:c r="E10" s="23" t="n">
        <x:v>0</x:v>
      </x:c>
      <x:c r="F10" s="14" t="str">
        <x:v>状态、引用、证据覆盖、语义和质量门禁</x:v>
      </x:c>
      <x:c r="G10" s="14" t="str">
        <x:v>expected claims 尚需人工复核</x:v>
      </x:c>
      <x:c r="H10" s="14" t="str">
        <x:v>development_120_answer_eval_v1.json</x:v>
      </x:c>
      <x:c r="I10" s="14" t="str">
        <x:v>是</x:v>
      </x:c>
      <x:c r="J10" s="14" t="str">
        <x:v>业务人员确认必答与补充范围</x:v>
      </x:c>
    </x:row>
    <x:row r="11">
      <x:c r="A11" s="14" t="str">
        <x:v>M2–M4 平台业务冒烟</x:v>
      </x:c>
      <x:c r="B11" s="23" t="str">
        <x:v>人工场景</x:v>
      </x:c>
      <x:c r="C11" s="23" t="str">
        <x:v>至少 1</x:v>
      </x:c>
      <x:c r="D11" s="23" t="str">
        <x:v>至少 1</x:v>
      </x:c>
      <x:c r="E11" s="23" t="str">
        <x:v>至少 1</x:v>
      </x:c>
      <x:c r="F11" s="14" t="str">
        <x:v>制度、Node/PDF、会话、Citation、反馈和诊断</x:v>
      </x:c>
      <x:c r="G11" s="14" t="str">
        <x:v>不能代替批量质量评测</x:v>
      </x:c>
      <x:c r="H11" s="14" t="str">
        <x:v>docs/testing/PHASE1_ACCEPTANCE.md</x:v>
      </x:c>
      <x:c r="I11" s="14" t="str">
        <x:v>否</x:v>
      </x:c>
      <x:c r="J11" s="14" t="str">
        <x:v>随版本执行最小验收</x:v>
      </x:c>
    </x:row>
    <x:row r="12">
      <x:c r="A12" s="14" t="str">
        <x:v>Stage 5 暖态/并发</x:v>
      </x:c>
      <x:c r="B12" s="23" t="str">
        <x:v>固定 15 或每级 30 请求</x:v>
      </x:c>
      <x:c r="C12" s="23" t="str">
        <x:v>混合</x:v>
      </x:c>
      <x:c r="D12" s="23" t="str">
        <x:v>混合</x:v>
      </x:c>
      <x:c r="E12" s="23" t="str">
        <x:v>当前无金标</x:v>
      </x:c>
      <x:c r="F12" s="14" t="str">
        <x:v>P50/P95、错误率、吞吐和容量</x:v>
      </x:c>
      <x:c r="G12" s="14" t="str">
        <x:v>SLA、超时和容量尚未冻结</x:v>
      </x:c>
      <x:c r="H12" s="14" t="str">
        <x:v>run_stage5_api_load.py</x:v>
      </x:c>
      <x:c r="I12" s="14" t="str">
        <x:v>否</x:v>
      </x:c>
      <x:c r="J12" s="14" t="str">
        <x:v>8010 暖态后单独执行</x:v>
      </x:c>
    </x:row>
    <x:row r="13">
      <x:c r="A13" s="14" t="str">
        <x:v>反馈候选评测案例</x:v>
      </x:c>
      <x:c r="B13" s="23" t="str">
        <x:v>持续增长</x:v>
      </x:c>
      <x:c r="C13" s="23" t="str">
        <x:v>按复核结果</x:v>
      </x:c>
      <x:c r="D13" s="23" t="str">
        <x:v>按复核结果</x:v>
      </x:c>
      <x:c r="E13" s="23" t="str">
        <x:v>按复核结果</x:v>
      </x:c>
      <x:c r="F13" s="14" t="str">
        <x:v>把真实失败纳入回归</x:v>
      </x:c>
      <x:c r="G13" s="14" t="str">
        <x:v>未经 ACCEPTED 不能成为金标</x:v>
      </x:c>
      <x:c r="H13" s="14" t="str">
        <x:v>Platform eval_candidate</x:v>
      </x:c>
      <x:c r="I13" s="14" t="str">
        <x:v>复核后允许</x:v>
      </x:c>
      <x:c r="J13" s="14" t="str">
        <x:v>建立 REVIEWED/ACCEPTED 流程</x:v>
      </x:c>
    </x:row>
  </x:sheetData>
  <x:pageMargins left="0.7" right="0.7" top="0.75" bottom="0.75" header="0.3" footer="0.3"/>
  <x:tableParts count="1">
    <x:tablePart xmlns:r="http://schemas.openxmlformats.org/officeDocument/2006/relationships" r:id="R0ab3a333fde342f6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16" hidden="0" customWidth="1"/>
    <x:col min="3" max="3" width="20" hidden="0" customWidth="1"/>
    <x:col min="4" max="4" width="20" hidden="0" customWidth="1"/>
    <x:col min="5" max="5" width="38" hidden="0" customWidth="1"/>
    <x:col min="6" max="6" width="48" hidden="0" customWidth="1"/>
    <x:col min="7" max="7" width="40" hidden="0" customWidth="1"/>
    <x:col min="8" max="8" width="20" hidden="0" customWidth="1"/>
    <x:col min="9" max="9" width="15" hidden="0" customWidth="1"/>
    <x:col min="10" max="10" width="25" hidden="0" customWidth="1"/>
    <x:col min="11" max="11" width="42" hidden="0" customWidth="1"/>
    <x:col min="12" max="12" width="48" hidden="0" customWidth="1"/>
    <x:col min="13" max="13" width="54" hidden="0" customWidth="1"/>
    <x:col min="14" max="14" width="45" hidden="0" customWidth="1"/>
    <x:col min="15" max="15" width="20" hidden="0" customWidth="1"/>
    <x:col min="16" max="16" width="35" hidden="0" customWidth="1"/>
    <x:col min="17" max="17" width="18" hidden="0" customWidth="1"/>
  </x:cols>
  <x:sheetData>
    <x:row r="1" ht="25" customHeight="1">
      <x:c r="A1" s="2" t="str">
        <x:v>员工问题征集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</x:row>
    <x:row r="2" ht="25" customHeight="1">
      <x:c r="A2" s="58" t="str">
        <x:v>员工填写黄色区域。请保留真实提问方式，不知道的答案或制度可以留空。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</x:row>
    <x:row r="4" ht="36" customHeight="1">
      <x:c r="A4" s="59" t="str">
        <x:v>征集编号</x:v>
      </x:c>
      <x:c r="B4" s="59" t="str">
        <x:v>提交批次</x:v>
      </x:c>
      <x:c r="C4" s="59" t="str">
        <x:v>业务领域</x:v>
      </x:c>
      <x:c r="D4" s="59" t="str">
        <x:v>提交人角色</x:v>
      </x:c>
      <x:c r="E4" s="59" t="str">
        <x:v>真实业务场景</x:v>
      </x:c>
      <x:c r="F4" s="59" t="str">
        <x:v>用户原话</x:v>
      </x:c>
      <x:c r="G4" s="59" t="str">
        <x:v>追问或上下文</x:v>
      </x:c>
      <x:c r="H4" s="59" t="str">
        <x:v>题型初判</x:v>
      </x:c>
      <x:c r="I4" s="59" t="str">
        <x:v>难度初判</x:v>
      </x:c>
      <x:c r="J4" s="59" t="str">
        <x:v>认为结果类型</x:v>
      </x:c>
      <x:c r="K4" s="59" t="str">
        <x:v>认为依据制度</x:v>
      </x:c>
      <x:c r="L4" s="59" t="str">
        <x:v>认为关键答案点</x:v>
      </x:c>
      <x:c r="M4" s="59" t="str">
        <x:v>认为证据原文或条款</x:v>
      </x:c>
      <x:c r="N4" s="59" t="str">
        <x:v>常见误区或近似错误说法</x:v>
      </x:c>
      <x:c r="O4" s="59" t="str">
        <x:v>是否含敏感信息</x:v>
      </x:c>
      <x:c r="P4" s="59" t="str">
        <x:v>提交备注</x:v>
      </x:c>
      <x:c r="Q4" s="59" t="str">
        <x:v>员工自检</x:v>
      </x:c>
    </x:row>
    <x:row r="5" ht="34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3" t="str">
        <x:f>IF(F5="","缺少问题",IF(O5="是","先脱敏",IF(OR(C5="",E5=""),"补充场景","可提交")))</x:f>
        <x:v>缺少问题</x:v>
      </x:c>
    </x:row>
    <x:row r="6" ht="34" customHeight="1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5" t="str">
        <x:f>IF(F6="","缺少问题",IF(O6="是","先脱敏",IF(OR(C6="",E6=""),"补充场景","可提交")))</x:f>
        <x:v>缺少问题</x:v>
      </x:c>
    </x:row>
    <x:row r="7" ht="34" customHeight="1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5" t="str">
        <x:f>IF(F7="","缺少问题",IF(O7="是","先脱敏",IF(OR(C7="",E7=""),"补充场景","可提交")))</x:f>
        <x:v>缺少问题</x:v>
      </x:c>
    </x:row>
    <x:row r="8" ht="34" customHeight="1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5" t="str">
        <x:f>IF(F8="","缺少问题",IF(O8="是","先脱敏",IF(OR(C8="",E8=""),"补充场景","可提交")))</x:f>
        <x:v>缺少问题</x:v>
      </x:c>
    </x:row>
    <x:row r="9" ht="34" customHeight="1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5" t="str">
        <x:f>IF(F9="","缺少问题",IF(O9="是","先脱敏",IF(OR(C9="",E9=""),"补充场景","可提交")))</x:f>
        <x:v>缺少问题</x:v>
      </x:c>
    </x:row>
    <x:row r="10" ht="34" customHeight="1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5" t="str">
        <x:f>IF(F10="","缺少问题",IF(O10="是","先脱敏",IF(OR(C10="",E10=""),"补充场景","可提交")))</x:f>
        <x:v>缺少问题</x:v>
      </x:c>
    </x:row>
    <x:row r="11" ht="34" customHeight="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5" t="str">
        <x:f>IF(F11="","缺少问题",IF(O11="是","先脱敏",IF(OR(C11="",E11=""),"补充场景","可提交")))</x:f>
        <x:v>缺少问题</x:v>
      </x:c>
    </x:row>
    <x:row r="12" ht="34" customHeight="1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5" t="str">
        <x:f>IF(F12="","缺少问题",IF(O12="是","先脱敏",IF(OR(C12="",E12=""),"补充场景","可提交")))</x:f>
        <x:v>缺少问题</x:v>
      </x:c>
    </x:row>
    <x:row r="13" ht="34" customHeight="1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5" t="str">
        <x:f>IF(F13="","缺少问题",IF(O13="是","先脱敏",IF(OR(C13="",E13=""),"补充场景","可提交")))</x:f>
        <x:v>缺少问题</x:v>
      </x:c>
    </x:row>
    <x:row r="14" ht="34" customHeight="1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5" t="str">
        <x:f>IF(F14="","缺少问题",IF(O14="是","先脱敏",IF(OR(C14="",E14=""),"补充场景","可提交")))</x:f>
        <x:v>缺少问题</x:v>
      </x:c>
    </x:row>
    <x:row r="15" ht="34" customHeight="1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5" t="str">
        <x:f>IF(F15="","缺少问题",IF(O15="是","先脱敏",IF(OR(C15="",E15=""),"补充场景","可提交")))</x:f>
        <x:v>缺少问题</x:v>
      </x:c>
    </x:row>
    <x:row r="16" ht="34" customHeight="1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5" t="str">
        <x:f>IF(F16="","缺少问题",IF(O16="是","先脱敏",IF(OR(C16="",E16=""),"补充场景","可提交")))</x:f>
        <x:v>缺少问题</x:v>
      </x:c>
    </x:row>
    <x:row r="17" ht="34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5" t="str">
        <x:f>IF(F17="","缺少问题",IF(O17="是","先脱敏",IF(OR(C17="",E17=""),"补充场景","可提交")))</x:f>
        <x:v>缺少问题</x:v>
      </x:c>
    </x:row>
    <x:row r="18" ht="34" customHeight="1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5" t="str">
        <x:f>IF(F18="","缺少问题",IF(O18="是","先脱敏",IF(OR(C18="",E18=""),"补充场景","可提交")))</x:f>
        <x:v>缺少问题</x:v>
      </x:c>
    </x:row>
    <x:row r="19" ht="34" customHeight="1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5" t="str">
        <x:f>IF(F19="","缺少问题",IF(O19="是","先脱敏",IF(OR(C19="",E19=""),"补充场景","可提交")))</x:f>
        <x:v>缺少问题</x:v>
      </x:c>
    </x:row>
    <x:row r="20" ht="34" customHeight="1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5" t="str">
        <x:f>IF(F20="","缺少问题",IF(O20="是","先脱敏",IF(OR(C20="",E20=""),"补充场景","可提交")))</x:f>
        <x:v>缺少问题</x:v>
      </x:c>
    </x:row>
    <x:row r="21" ht="34" customHeight="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5" t="str">
        <x:f>IF(F21="","缺少问题",IF(O21="是","先脱敏",IF(OR(C21="",E21=""),"补充场景","可提交")))</x:f>
        <x:v>缺少问题</x:v>
      </x:c>
    </x:row>
    <x:row r="22" ht="34" customHeight="1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5" t="str">
        <x:f>IF(F22="","缺少问题",IF(O22="是","先脱敏",IF(OR(C22="",E22=""),"补充场景","可提交")))</x:f>
        <x:v>缺少问题</x:v>
      </x:c>
    </x:row>
    <x:row r="23" ht="34" customHeight="1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5" t="str">
        <x:f>IF(F23="","缺少问题",IF(O23="是","先脱敏",IF(OR(C23="",E23=""),"补充场景","可提交")))</x:f>
        <x:v>缺少问题</x:v>
      </x:c>
    </x:row>
    <x:row r="24" ht="34" customHeight="1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5" t="str">
        <x:f>IF(F24="","缺少问题",IF(O24="是","先脱敏",IF(OR(C24="",E24=""),"补充场景","可提交")))</x:f>
        <x:v>缺少问题</x:v>
      </x:c>
    </x:row>
    <x:row r="25" ht="34" customHeight="1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5" t="str">
        <x:f>IF(F25="","缺少问题",IF(O25="是","先脱敏",IF(OR(C25="",E25=""),"补充场景","可提交")))</x:f>
        <x:v>缺少问题</x:v>
      </x:c>
    </x:row>
    <x:row r="26" ht="34" customHeight="1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5" t="str">
        <x:f>IF(F26="","缺少问题",IF(O26="是","先脱敏",IF(OR(C26="",E26=""),"补充场景","可提交")))</x:f>
        <x:v>缺少问题</x:v>
      </x:c>
    </x:row>
    <x:row r="27" ht="34" customHeight="1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5" t="str">
        <x:f>IF(F27="","缺少问题",IF(O27="是","先脱敏",IF(OR(C27="",E27=""),"补充场景","可提交")))</x:f>
        <x:v>缺少问题</x:v>
      </x:c>
    </x:row>
    <x:row r="28" ht="34" customHeight="1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5" t="str">
        <x:f>IF(F28="","缺少问题",IF(O28="是","先脱敏",IF(OR(C28="",E28=""),"补充场景","可提交")))</x:f>
        <x:v>缺少问题</x:v>
      </x:c>
    </x:row>
    <x:row r="29" ht="34" customHeight="1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5" t="str">
        <x:f>IF(F29="","缺少问题",IF(O29="是","先脱敏",IF(OR(C29="",E29=""),"补充场景","可提交")))</x:f>
        <x:v>缺少问题</x:v>
      </x:c>
    </x:row>
    <x:row r="30" ht="34" customHeight="1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5" t="str">
        <x:f>IF(F30="","缺少问题",IF(O30="是","先脱敏",IF(OR(C30="",E30=""),"补充场景","可提交")))</x:f>
        <x:v>缺少问题</x:v>
      </x:c>
    </x:row>
    <x:row r="31" ht="34" customHeight="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5" t="str">
        <x:f>IF(F31="","缺少问题",IF(O31="是","先脱敏",IF(OR(C31="",E31=""),"补充场景","可提交")))</x:f>
        <x:v>缺少问题</x:v>
      </x:c>
    </x:row>
    <x:row r="32" ht="34" customHeight="1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5" t="str">
        <x:f>IF(F32="","缺少问题",IF(O32="是","先脱敏",IF(OR(C32="",E32=""),"补充场景","可提交")))</x:f>
        <x:v>缺少问题</x:v>
      </x:c>
    </x:row>
    <x:row r="33" ht="34" customHeight="1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5" t="str">
        <x:f>IF(F33="","缺少问题",IF(O33="是","先脱敏",IF(OR(C33="",E33=""),"补充场景","可提交")))</x:f>
        <x:v>缺少问题</x:v>
      </x:c>
    </x:row>
    <x:row r="34" ht="34" customHeight="1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5" t="str">
        <x:f>IF(F34="","缺少问题",IF(O34="是","先脱敏",IF(OR(C34="",E34=""),"补充场景","可提交")))</x:f>
        <x:v>缺少问题</x:v>
      </x:c>
    </x:row>
    <x:row r="35" ht="34" customHeight="1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5" t="str">
        <x:f>IF(F35="","缺少问题",IF(O35="是","先脱敏",IF(OR(C35="",E35=""),"补充场景","可提交")))</x:f>
        <x:v>缺少问题</x:v>
      </x:c>
    </x:row>
    <x:row r="36" ht="34" customHeight="1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5" t="str">
        <x:f>IF(F36="","缺少问题",IF(O36="是","先脱敏",IF(OR(C36="",E36=""),"补充场景","可提交")))</x:f>
        <x:v>缺少问题</x:v>
      </x:c>
    </x:row>
    <x:row r="37" ht="34" customHeight="1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5" t="str">
        <x:f>IF(F37="","缺少问题",IF(O37="是","先脱敏",IF(OR(C37="",E37=""),"补充场景","可提交")))</x:f>
        <x:v>缺少问题</x:v>
      </x:c>
    </x:row>
    <x:row r="38" ht="34" customHeight="1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5" t="str">
        <x:f>IF(F38="","缺少问题",IF(O38="是","先脱敏",IF(OR(C38="",E38=""),"补充场景","可提交")))</x:f>
        <x:v>缺少问题</x:v>
      </x:c>
    </x:row>
    <x:row r="39" ht="34" customHeight="1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5" t="str">
        <x:f>IF(F39="","缺少问题",IF(O39="是","先脱敏",IF(OR(C39="",E39=""),"补充场景","可提交")))</x:f>
        <x:v>缺少问题</x:v>
      </x:c>
    </x:row>
    <x:row r="40" ht="34" customHeight="1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5" t="str">
        <x:f>IF(F40="","缺少问题",IF(O40="是","先脱敏",IF(OR(C40="",E40=""),"补充场景","可提交")))</x:f>
        <x:v>缺少问题</x:v>
      </x:c>
    </x:row>
    <x:row r="41" ht="34" customHeight="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5" t="str">
        <x:f>IF(F41="","缺少问题",IF(O41="是","先脱敏",IF(OR(C41="",E41=""),"补充场景","可提交")))</x:f>
        <x:v>缺少问题</x:v>
      </x:c>
    </x:row>
    <x:row r="42" ht="34" customHeight="1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5" t="str">
        <x:f>IF(F42="","缺少问题",IF(O42="是","先脱敏",IF(OR(C42="",E42=""),"补充场景","可提交")))</x:f>
        <x:v>缺少问题</x:v>
      </x:c>
    </x:row>
    <x:row r="43" ht="34" customHeight="1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5" t="str">
        <x:f>IF(F43="","缺少问题",IF(O43="是","先脱敏",IF(OR(C43="",E43=""),"补充场景","可提交")))</x:f>
        <x:v>缺少问题</x:v>
      </x:c>
    </x:row>
    <x:row r="44" ht="34" customHeight="1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5" t="str">
        <x:f>IF(F44="","缺少问题",IF(O44="是","先脱敏",IF(OR(C44="",E44=""),"补充场景","可提交")))</x:f>
        <x:v>缺少问题</x:v>
      </x:c>
    </x:row>
    <x:row r="45" ht="34" customHeight="1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5" t="str">
        <x:f>IF(F45="","缺少问题",IF(O45="是","先脱敏",IF(OR(C45="",E45=""),"补充场景","可提交")))</x:f>
        <x:v>缺少问题</x:v>
      </x:c>
    </x:row>
    <x:row r="46" ht="34" customHeight="1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5" t="str">
        <x:f>IF(F46="","缺少问题",IF(O46="是","先脱敏",IF(OR(C46="",E46=""),"补充场景","可提交")))</x:f>
        <x:v>缺少问题</x:v>
      </x:c>
    </x:row>
    <x:row r="47" ht="34" customHeight="1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5" t="str">
        <x:f>IF(F47="","缺少问题",IF(O47="是","先脱敏",IF(OR(C47="",E47=""),"补充场景","可提交")))</x:f>
        <x:v>缺少问题</x:v>
      </x:c>
    </x:row>
    <x:row r="48" ht="34" customHeight="1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5" t="str">
        <x:f>IF(F48="","缺少问题",IF(O48="是","先脱敏",IF(OR(C48="",E48=""),"补充场景","可提交")))</x:f>
        <x:v>缺少问题</x:v>
      </x:c>
    </x:row>
    <x:row r="49" ht="34" customHeight="1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5" t="str">
        <x:f>IF(F49="","缺少问题",IF(O49="是","先脱敏",IF(OR(C49="",E49=""),"补充场景","可提交")))</x:f>
        <x:v>缺少问题</x:v>
      </x:c>
    </x:row>
    <x:row r="50" ht="34" customHeight="1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5" t="str">
        <x:f>IF(F50="","缺少问题",IF(O50="是","先脱敏",IF(OR(C50="",E50=""),"补充场景","可提交")))</x:f>
        <x:v>缺少问题</x:v>
      </x:c>
    </x:row>
    <x:row r="51" ht="34" customHeight="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5" t="str">
        <x:f>IF(F51="","缺少问题",IF(O51="是","先脱敏",IF(OR(C51="",E51=""),"补充场景","可提交")))</x:f>
        <x:v>缺少问题</x:v>
      </x:c>
    </x:row>
    <x:row r="52" ht="34" customHeight="1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5" t="str">
        <x:f>IF(F52="","缺少问题",IF(O52="是","先脱敏",IF(OR(C52="",E52=""),"补充场景","可提交")))</x:f>
        <x:v>缺少问题</x:v>
      </x:c>
    </x:row>
    <x:row r="53" ht="34" customHeight="1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5" t="str">
        <x:f>IF(F53="","缺少问题",IF(O53="是","先脱敏",IF(OR(C53="",E53=""),"补充场景","可提交")))</x:f>
        <x:v>缺少问题</x:v>
      </x:c>
    </x:row>
    <x:row r="54" ht="34" customHeight="1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5" t="str">
        <x:f>IF(F54="","缺少问题",IF(O54="是","先脱敏",IF(OR(C54="",E54=""),"补充场景","可提交")))</x:f>
        <x:v>缺少问题</x:v>
      </x:c>
    </x:row>
    <x:row r="55" ht="34" customHeight="1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5" t="str">
        <x:f>IF(F55="","缺少问题",IF(O55="是","先脱敏",IF(OR(C55="",E55=""),"补充场景","可提交")))</x:f>
        <x:v>缺少问题</x:v>
      </x:c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5" t="str">
        <x:f>IF(F56="","缺少问题",IF(O56="是","先脱敏",IF(OR(C56="",E56=""),"补充场景","可提交")))</x:f>
        <x:v>缺少问题</x:v>
      </x:c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5" t="str">
        <x:f>IF(F57="","缺少问题",IF(O57="是","先脱敏",IF(OR(C57="",E57=""),"补充场景","可提交")))</x:f>
        <x:v>缺少问题</x:v>
      </x:c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5" t="str">
        <x:f>IF(F58="","缺少问题",IF(O58="是","先脱敏",IF(OR(C58="",E58=""),"补充场景","可提交")))</x:f>
        <x:v>缺少问题</x:v>
      </x:c>
    </x:row>
    <x:row r="59" ht="34" customHeight="1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5" t="str">
        <x:f>IF(F59="","缺少问题",IF(O59="是","先脱敏",IF(OR(C59="",E59=""),"补充场景","可提交")))</x:f>
        <x:v>缺少问题</x:v>
      </x:c>
    </x:row>
    <x:row r="60" ht="34" customHeight="1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5" t="str">
        <x:f>IF(F60="","缺少问题",IF(O60="是","先脱敏",IF(OR(C60="",E60=""),"补充场景","可提交")))</x:f>
        <x:v>缺少问题</x:v>
      </x:c>
    </x:row>
    <x:row r="61" ht="34" customHeight="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5" t="str">
        <x:f>IF(F61="","缺少问题",IF(O61="是","先脱敏",IF(OR(C61="",E61=""),"补充场景","可提交")))</x:f>
        <x:v>缺少问题</x:v>
      </x:c>
    </x:row>
    <x:row r="62" ht="34" customHeight="1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5" t="str">
        <x:f>IF(F62="","缺少问题",IF(O62="是","先脱敏",IF(OR(C62="",E62=""),"补充场景","可提交")))</x:f>
        <x:v>缺少问题</x:v>
      </x:c>
    </x:row>
    <x:row r="63" ht="34" customHeight="1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5" t="str">
        <x:f>IF(F63="","缺少问题",IF(O63="是","先脱敏",IF(OR(C63="",E63=""),"补充场景","可提交")))</x:f>
        <x:v>缺少问题</x:v>
      </x:c>
    </x:row>
    <x:row r="64" ht="34" customHeight="1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5" t="str">
        <x:f>IF(F64="","缺少问题",IF(O64="是","先脱敏",IF(OR(C64="",E64=""),"补充场景","可提交")))</x:f>
        <x:v>缺少问题</x:v>
      </x:c>
    </x:row>
    <x:row r="65" ht="34" customHeight="1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5" t="str">
        <x:f>IF(F65="","缺少问题",IF(O65="是","先脱敏",IF(OR(C65="",E65=""),"补充场景","可提交")))</x:f>
        <x:v>缺少问题</x:v>
      </x:c>
    </x:row>
    <x:row r="66" ht="34" customHeight="1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5" t="str">
        <x:f>IF(F66="","缺少问题",IF(O66="是","先脱敏",IF(OR(C66="",E66=""),"补充场景","可提交")))</x:f>
        <x:v>缺少问题</x:v>
      </x:c>
    </x:row>
    <x:row r="67" ht="34" customHeight="1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5" t="str">
        <x:f>IF(F67="","缺少问题",IF(O67="是","先脱敏",IF(OR(C67="",E67=""),"补充场景","可提交")))</x:f>
        <x:v>缺少问题</x:v>
      </x:c>
    </x:row>
    <x:row r="68" ht="34" customHeight="1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5" t="str">
        <x:f>IF(F68="","缺少问题",IF(O68="是","先脱敏",IF(OR(C68="",E68=""),"补充场景","可提交")))</x:f>
        <x:v>缺少问题</x:v>
      </x:c>
    </x:row>
    <x:row r="69" ht="34" customHeight="1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5" t="str">
        <x:f>IF(F69="","缺少问题",IF(O69="是","先脱敏",IF(OR(C69="",E69=""),"补充场景","可提交")))</x:f>
        <x:v>缺少问题</x:v>
      </x:c>
    </x:row>
    <x:row r="70" ht="34" customHeight="1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5" t="str">
        <x:f>IF(F70="","缺少问题",IF(O70="是","先脱敏",IF(OR(C70="",E70=""),"补充场景","可提交")))</x:f>
        <x:v>缺少问题</x:v>
      </x:c>
    </x:row>
    <x:row r="71" ht="34" customHeight="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5" t="str">
        <x:f>IF(F71="","缺少问题",IF(O71="是","先脱敏",IF(OR(C71="",E71=""),"补充场景","可提交")))</x:f>
        <x:v>缺少问题</x:v>
      </x:c>
    </x:row>
    <x:row r="72" ht="34" customHeight="1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5" t="str">
        <x:f>IF(F72="","缺少问题",IF(O72="是","先脱敏",IF(OR(C72="",E72=""),"补充场景","可提交")))</x:f>
        <x:v>缺少问题</x:v>
      </x:c>
    </x:row>
    <x:row r="73" ht="34" customHeight="1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5" t="str">
        <x:f>IF(F73="","缺少问题",IF(O73="是","先脱敏",IF(OR(C73="",E73=""),"补充场景","可提交")))</x:f>
        <x:v>缺少问题</x:v>
      </x:c>
    </x:row>
    <x:row r="74" ht="34" customHeight="1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5" t="str">
        <x:f>IF(F74="","缺少问题",IF(O74="是","先脱敏",IF(OR(C74="",E74=""),"补充场景","可提交")))</x:f>
        <x:v>缺少问题</x:v>
      </x:c>
    </x:row>
    <x:row r="75" ht="34" customHeight="1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5" t="str">
        <x:f>IF(F75="","缺少问题",IF(O75="是","先脱敏",IF(OR(C75="",E75=""),"补充场景","可提交")))</x:f>
        <x:v>缺少问题</x:v>
      </x:c>
    </x:row>
    <x:row r="76" ht="34" customHeight="1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5" t="str">
        <x:f>IF(F76="","缺少问题",IF(O76="是","先脱敏",IF(OR(C76="",E76=""),"补充场景","可提交")))</x:f>
        <x:v>缺少问题</x:v>
      </x:c>
    </x:row>
    <x:row r="77" ht="34" customHeight="1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5" t="str">
        <x:f>IF(F77="","缺少问题",IF(O77="是","先脱敏",IF(OR(C77="",E77=""),"补充场景","可提交")))</x:f>
        <x:v>缺少问题</x:v>
      </x:c>
    </x:row>
    <x:row r="78" ht="34" customHeight="1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5" t="str">
        <x:f>IF(F78="","缺少问题",IF(O78="是","先脱敏",IF(OR(C78="",E78=""),"补充场景","可提交")))</x:f>
        <x:v>缺少问题</x:v>
      </x:c>
    </x:row>
    <x:row r="79" ht="34" customHeight="1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5" t="str">
        <x:f>IF(F79="","缺少问题",IF(O79="是","先脱敏",IF(OR(C79="",E79=""),"补充场景","可提交")))</x:f>
        <x:v>缺少问题</x:v>
      </x:c>
    </x:row>
    <x:row r="80" ht="34" customHeight="1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5" t="str">
        <x:f>IF(F80="","缺少问题",IF(O80="是","先脱敏",IF(OR(C80="",E80=""),"补充场景","可提交")))</x:f>
        <x:v>缺少问题</x:v>
      </x:c>
    </x:row>
    <x:row r="81" ht="34" customHeight="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5" t="str">
        <x:f>IF(F81="","缺少问题",IF(O81="是","先脱敏",IF(OR(C81="",E81=""),"补充场景","可提交")))</x:f>
        <x:v>缺少问题</x:v>
      </x:c>
    </x:row>
    <x:row r="82" ht="34" customHeight="1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5" t="str">
        <x:f>IF(F82="","缺少问题",IF(O82="是","先脱敏",IF(OR(C82="",E82=""),"补充场景","可提交")))</x:f>
        <x:v>缺少问题</x:v>
      </x:c>
    </x:row>
    <x:row r="83" ht="34" customHeight="1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5" t="str">
        <x:f>IF(F83="","缺少问题",IF(O83="是","先脱敏",IF(OR(C83="",E83=""),"补充场景","可提交")))</x:f>
        <x:v>缺少问题</x:v>
      </x:c>
    </x:row>
    <x:row r="84" ht="34" customHeight="1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5" t="str">
        <x:f>IF(F84="","缺少问题",IF(O84="是","先脱敏",IF(OR(C84="",E84=""),"补充场景","可提交")))</x:f>
        <x:v>缺少问题</x:v>
      </x:c>
    </x:row>
    <x:row r="85" ht="34" customHeight="1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5" t="str">
        <x:f>IF(F85="","缺少问题",IF(O85="是","先脱敏",IF(OR(C85="",E85=""),"补充场景","可提交")))</x:f>
        <x:v>缺少问题</x:v>
      </x:c>
    </x:row>
    <x:row r="86" ht="34" customHeight="1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5" t="str">
        <x:f>IF(F86="","缺少问题",IF(O86="是","先脱敏",IF(OR(C86="",E86=""),"补充场景","可提交")))</x:f>
        <x:v>缺少问题</x:v>
      </x:c>
    </x:row>
    <x:row r="87" ht="34" customHeight="1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5" t="str">
        <x:f>IF(F87="","缺少问题",IF(O87="是","先脱敏",IF(OR(C87="",E87=""),"补充场景","可提交")))</x:f>
        <x:v>缺少问题</x:v>
      </x:c>
    </x:row>
    <x:row r="88" ht="34" customHeight="1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5" t="str">
        <x:f>IF(F88="","缺少问题",IF(O88="是","先脱敏",IF(OR(C88="",E88=""),"补充场景","可提交")))</x:f>
        <x:v>缺少问题</x:v>
      </x:c>
    </x:row>
    <x:row r="89" ht="34" customHeight="1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5" t="str">
        <x:f>IF(F89="","缺少问题",IF(O89="是","先脱敏",IF(OR(C89="",E89=""),"补充场景","可提交")))</x:f>
        <x:v>缺少问题</x:v>
      </x:c>
    </x:row>
    <x:row r="90" ht="34" customHeight="1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5" t="str">
        <x:f>IF(F90="","缺少问题",IF(O90="是","先脱敏",IF(OR(C90="",E90=""),"补充场景","可提交")))</x:f>
        <x:v>缺少问题</x:v>
      </x:c>
    </x:row>
    <x:row r="91" ht="34" customHeight="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5" t="str">
        <x:f>IF(F91="","缺少问题",IF(O91="是","先脱敏",IF(OR(C91="",E91=""),"补充场景","可提交")))</x:f>
        <x:v>缺少问题</x:v>
      </x:c>
    </x:row>
    <x:row r="92" ht="34" customHeight="1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5" t="str">
        <x:f>IF(F92="","缺少问题",IF(O92="是","先脱敏",IF(OR(C92="",E92=""),"补充场景","可提交")))</x:f>
        <x:v>缺少问题</x:v>
      </x:c>
    </x:row>
    <x:row r="93" ht="34" customHeight="1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5" t="str">
        <x:f>IF(F93="","缺少问题",IF(O93="是","先脱敏",IF(OR(C93="",E93=""),"补充场景","可提交")))</x:f>
        <x:v>缺少问题</x:v>
      </x:c>
    </x:row>
    <x:row r="94" ht="34" customHeight="1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5" t="str">
        <x:f>IF(F94="","缺少问题",IF(O94="是","先脱敏",IF(OR(C94="",E94=""),"补充场景","可提交")))</x:f>
        <x:v>缺少问题</x:v>
      </x:c>
    </x:row>
    <x:row r="95" ht="34" customHeight="1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5" t="str">
        <x:f>IF(F95="","缺少问题",IF(O95="是","先脱敏",IF(OR(C95="",E95=""),"补充场景","可提交")))</x:f>
        <x:v>缺少问题</x:v>
      </x:c>
    </x:row>
    <x:row r="96" ht="34" customHeight="1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5" t="str">
        <x:f>IF(F96="","缺少问题",IF(O96="是","先脱敏",IF(OR(C96="",E96=""),"补充场景","可提交")))</x:f>
        <x:v>缺少问题</x:v>
      </x:c>
    </x:row>
    <x:row r="97" ht="34" customHeight="1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5" t="str">
        <x:f>IF(F97="","缺少问题",IF(O97="是","先脱敏",IF(OR(C97="",E97=""),"补充场景","可提交")))</x:f>
        <x:v>缺少问题</x:v>
      </x:c>
    </x:row>
    <x:row r="98" ht="34" customHeight="1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5" t="str">
        <x:f>IF(F98="","缺少问题",IF(O98="是","先脱敏",IF(OR(C98="",E98=""),"补充场景","可提交")))</x:f>
        <x:v>缺少问题</x:v>
      </x:c>
    </x:row>
    <x:row r="99" ht="34" customHeight="1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5" t="str">
        <x:f>IF(F99="","缺少问题",IF(O99="是","先脱敏",IF(OR(C99="",E99=""),"补充场景","可提交")))</x:f>
        <x:v>缺少问题</x:v>
      </x:c>
    </x:row>
    <x:row r="100" ht="34" customHeight="1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5" t="str">
        <x:f>IF(F100="","缺少问题",IF(O100="是","先脱敏",IF(OR(C100="",E100=""),"补充场景","可提交")))</x:f>
        <x:v>缺少问题</x:v>
      </x:c>
    </x:row>
    <x:row r="101" ht="34" customHeight="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5" t="str">
        <x:f>IF(F101="","缺少问题",IF(O101="是","先脱敏",IF(OR(C101="",E101=""),"补充场景","可提交")))</x:f>
        <x:v>缺少问题</x:v>
      </x:c>
    </x:row>
    <x:row r="102" ht="34" customHeight="1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5" t="str">
        <x:f>IF(F102="","缺少问题",IF(O102="是","先脱敏",IF(OR(C102="",E102=""),"补充场景","可提交")))</x:f>
        <x:v>缺少问题</x:v>
      </x:c>
    </x:row>
    <x:row r="103" ht="34" customHeight="1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5" t="str">
        <x:f>IF(F103="","缺少问题",IF(O103="是","先脱敏",IF(OR(C103="",E103=""),"补充场景","可提交")))</x:f>
        <x:v>缺少问题</x:v>
      </x:c>
    </x:row>
    <x:row r="104" ht="34" customHeight="1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5" t="str">
        <x:f>IF(F104="","缺少问题",IF(O104="是","先脱敏",IF(OR(C104="",E104=""),"补充场景","可提交")))</x:f>
        <x:v>缺少问题</x:v>
      </x:c>
    </x:row>
    <x:row r="105" ht="34" customHeight="1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5" t="str">
        <x:f>IF(F105="","缺少问题",IF(O105="是","先脱敏",IF(OR(C105="",E105=""),"补充场景","可提交")))</x:f>
        <x:v>缺少问题</x:v>
      </x:c>
    </x:row>
    <x:row r="106" ht="34" customHeight="1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5" t="str">
        <x:f>IF(F106="","缺少问题",IF(O106="是","先脱敏",IF(OR(C106="",E106=""),"补充场景","可提交")))</x:f>
        <x:v>缺少问题</x:v>
      </x:c>
    </x:row>
    <x:row r="107" ht="34" customHeight="1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5" t="str">
        <x:f>IF(F107="","缺少问题",IF(O107="是","先脱敏",IF(OR(C107="",E107=""),"补充场景","可提交")))</x:f>
        <x:v>缺少问题</x:v>
      </x:c>
    </x:row>
    <x:row r="108" ht="34" customHeight="1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5" t="str">
        <x:f>IF(F108="","缺少问题",IF(O108="是","先脱敏",IF(OR(C108="",E108=""),"补充场景","可提交")))</x:f>
        <x:v>缺少问题</x:v>
      </x:c>
    </x:row>
    <x:row r="109" ht="34" customHeight="1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5" t="str">
        <x:f>IF(F109="","缺少问题",IF(O109="是","先脱敏",IF(OR(C109="",E109=""),"补充场景","可提交")))</x:f>
        <x:v>缺少问题</x:v>
      </x:c>
    </x:row>
    <x:row r="110" ht="34" customHeight="1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5" t="str">
        <x:f>IF(F110="","缺少问题",IF(O110="是","先脱敏",IF(OR(C110="",E110=""),"补充场景","可提交")))</x:f>
        <x:v>缺少问题</x:v>
      </x:c>
    </x:row>
    <x:row r="111" ht="34" customHeight="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5" t="str">
        <x:f>IF(F111="","缺少问题",IF(O111="是","先脱敏",IF(OR(C111="",E111=""),"补充场景","可提交")))</x:f>
        <x:v>缺少问题</x:v>
      </x:c>
    </x:row>
    <x:row r="112" ht="34" customHeight="1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5" t="str">
        <x:f>IF(F112="","缺少问题",IF(O112="是","先脱敏",IF(OR(C112="",E112=""),"补充场景","可提交")))</x:f>
        <x:v>缺少问题</x:v>
      </x:c>
    </x:row>
    <x:row r="113" ht="34" customHeight="1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5" t="str">
        <x:f>IF(F113="","缺少问题",IF(O113="是","先脱敏",IF(OR(C113="",E113=""),"补充场景","可提交")))</x:f>
        <x:v>缺少问题</x:v>
      </x:c>
    </x:row>
    <x:row r="114" ht="34" customHeight="1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5" t="str">
        <x:f>IF(F114="","缺少问题",IF(O114="是","先脱敏",IF(OR(C114="",E114=""),"补充场景","可提交")))</x:f>
        <x:v>缺少问题</x:v>
      </x:c>
    </x:row>
    <x:row r="115" ht="34" customHeight="1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5" t="str">
        <x:f>IF(F115="","缺少问题",IF(O115="是","先脱敏",IF(OR(C115="",E115=""),"补充场景","可提交")))</x:f>
        <x:v>缺少问题</x:v>
      </x:c>
    </x:row>
    <x:row r="116" ht="34" customHeight="1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5" t="str">
        <x:f>IF(F116="","缺少问题",IF(O116="是","先脱敏",IF(OR(C116="",E116=""),"补充场景","可提交")))</x:f>
        <x:v>缺少问题</x:v>
      </x:c>
    </x:row>
    <x:row r="117" ht="34" customHeight="1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5" t="str">
        <x:f>IF(F117="","缺少问题",IF(O117="是","先脱敏",IF(OR(C117="",E117=""),"补充场景","可提交")))</x:f>
        <x:v>缺少问题</x:v>
      </x:c>
    </x:row>
    <x:row r="118" ht="34" customHeight="1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5" t="str">
        <x:f>IF(F118="","缺少问题",IF(O118="是","先脱敏",IF(OR(C118="",E118=""),"补充场景","可提交")))</x:f>
        <x:v>缺少问题</x:v>
      </x:c>
    </x:row>
    <x:row r="119" ht="34" customHeight="1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5" t="str">
        <x:f>IF(F119="","缺少问题",IF(O119="是","先脱敏",IF(OR(C119="",E119=""),"补充场景","可提交")))</x:f>
        <x:v>缺少问题</x:v>
      </x:c>
    </x:row>
    <x:row r="120" ht="34" customHeight="1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5" t="str">
        <x:f>IF(F120="","缺少问题",IF(O120="是","先脱敏",IF(OR(C120="",E120=""),"补充场景","可提交")))</x:f>
        <x:v>缺少问题</x:v>
      </x:c>
    </x:row>
    <x:row r="121" ht="34" customHeight="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5" t="str">
        <x:f>IF(F121="","缺少问题",IF(O121="是","先脱敏",IF(OR(C121="",E121=""),"补充场景","可提交")))</x:f>
        <x:v>缺少问题</x:v>
      </x:c>
    </x:row>
    <x:row r="122" ht="34" customHeight="1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5" t="str">
        <x:f>IF(F122="","缺少问题",IF(O122="是","先脱敏",IF(OR(C122="",E122=""),"补充场景","可提交")))</x:f>
        <x:v>缺少问题</x:v>
      </x:c>
    </x:row>
    <x:row r="123" ht="34" customHeight="1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5" t="str">
        <x:f>IF(F123="","缺少问题",IF(O123="是","先脱敏",IF(OR(C123="",E123=""),"补充场景","可提交")))</x:f>
        <x:v>缺少问题</x:v>
      </x:c>
    </x:row>
    <x:row r="124" ht="34" customHeight="1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5" t="str">
        <x:f>IF(F124="","缺少问题",IF(O124="是","先脱敏",IF(OR(C124="",E124=""),"补充场景","可提交")))</x:f>
        <x:v>缺少问题</x:v>
      </x:c>
    </x:row>
    <x:row r="125" ht="34" customHeight="1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5" t="str">
        <x:f>IF(F125="","缺少问题",IF(O125="是","先脱敏",IF(OR(C125="",E125=""),"补充场景","可提交")))</x:f>
        <x:v>缺少问题</x:v>
      </x:c>
    </x:row>
    <x:row r="126" ht="34" customHeight="1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5" t="str">
        <x:f>IF(F126="","缺少问题",IF(O126="是","先脱敏",IF(OR(C126="",E126=""),"补充场景","可提交")))</x:f>
        <x:v>缺少问题</x:v>
      </x:c>
    </x:row>
    <x:row r="127" ht="34" customHeight="1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5" t="str">
        <x:f>IF(F127="","缺少问题",IF(O127="是","先脱敏",IF(OR(C127="",E127=""),"补充场景","可提交")))</x:f>
        <x:v>缺少问题</x:v>
      </x:c>
    </x:row>
    <x:row r="128" ht="34" customHeight="1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5" t="str">
        <x:f>IF(F128="","缺少问题",IF(O128="是","先脱敏",IF(OR(C128="",E128=""),"补充场景","可提交")))</x:f>
        <x:v>缺少问题</x:v>
      </x:c>
    </x:row>
    <x:row r="129" ht="34" customHeight="1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5" t="str">
        <x:f>IF(F129="","缺少问题",IF(O129="是","先脱敏",IF(OR(C129="",E129=""),"补充场景","可提交")))</x:f>
        <x:v>缺少问题</x:v>
      </x:c>
    </x:row>
    <x:row r="130" ht="34" customHeight="1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5" t="str">
        <x:f>IF(F130="","缺少问题",IF(O130="是","先脱敏",IF(OR(C130="",E130=""),"补充场景","可提交")))</x:f>
        <x:v>缺少问题</x:v>
      </x:c>
    </x:row>
    <x:row r="131" ht="34" customHeight="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5" t="str">
        <x:f>IF(F131="","缺少问题",IF(O131="是","先脱敏",IF(OR(C131="",E131=""),"补充场景","可提交")))</x:f>
        <x:v>缺少问题</x:v>
      </x:c>
    </x:row>
    <x:row r="132" ht="34" customHeight="1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5" t="str">
        <x:f>IF(F132="","缺少问题",IF(O132="是","先脱敏",IF(OR(C132="",E132=""),"补充场景","可提交")))</x:f>
        <x:v>缺少问题</x:v>
      </x:c>
    </x:row>
    <x:row r="133" ht="34" customHeight="1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5" t="str">
        <x:f>IF(F133="","缺少问题",IF(O133="是","先脱敏",IF(OR(C133="",E133=""),"补充场景","可提交")))</x:f>
        <x:v>缺少问题</x:v>
      </x:c>
    </x:row>
    <x:row r="134" ht="34" customHeight="1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5" t="str">
        <x:f>IF(F134="","缺少问题",IF(O134="是","先脱敏",IF(OR(C134="",E134=""),"补充场景","可提交")))</x:f>
        <x:v>缺少问题</x:v>
      </x:c>
    </x:row>
    <x:row r="135" ht="34" customHeight="1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5" t="str">
        <x:f>IF(F135="","缺少问题",IF(O135="是","先脱敏",IF(OR(C135="",E135=""),"补充场景","可提交")))</x:f>
        <x:v>缺少问题</x:v>
      </x:c>
    </x:row>
    <x:row r="136" ht="34" customHeight="1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5" t="str">
        <x:f>IF(F136="","缺少问题",IF(O136="是","先脱敏",IF(OR(C136="",E136=""),"补充场景","可提交")))</x:f>
        <x:v>缺少问题</x:v>
      </x:c>
    </x:row>
    <x:row r="137" ht="34" customHeight="1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5" t="str">
        <x:f>IF(F137="","缺少问题",IF(O137="是","先脱敏",IF(OR(C137="",E137=""),"补充场景","可提交")))</x:f>
        <x:v>缺少问题</x:v>
      </x:c>
    </x:row>
    <x:row r="138" ht="34" customHeight="1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5" t="str">
        <x:f>IF(F138="","缺少问题",IF(O138="是","先脱敏",IF(OR(C138="",E138=""),"补充场景","可提交")))</x:f>
        <x:v>缺少问题</x:v>
      </x:c>
    </x:row>
    <x:row r="139" ht="34" customHeight="1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5" t="str">
        <x:f>IF(F139="","缺少问题",IF(O139="是","先脱敏",IF(OR(C139="",E139=""),"补充场景","可提交")))</x:f>
        <x:v>缺少问题</x:v>
      </x:c>
    </x:row>
    <x:row r="140" ht="34" customHeight="1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5" t="str">
        <x:f>IF(F140="","缺少问题",IF(O140="是","先脱敏",IF(OR(C140="",E140=""),"补充场景","可提交")))</x:f>
        <x:v>缺少问题</x:v>
      </x:c>
    </x:row>
    <x:row r="141" ht="34" customHeight="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5" t="str">
        <x:f>IF(F141="","缺少问题",IF(O141="是","先脱敏",IF(OR(C141="",E141=""),"补充场景","可提交")))</x:f>
        <x:v>缺少问题</x:v>
      </x:c>
    </x:row>
    <x:row r="142" ht="34" customHeight="1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5" t="str">
        <x:f>IF(F142="","缺少问题",IF(O142="是","先脱敏",IF(OR(C142="",E142=""),"补充场景","可提交")))</x:f>
        <x:v>缺少问题</x:v>
      </x:c>
    </x:row>
    <x:row r="143" ht="34" customHeight="1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5" t="str">
        <x:f>IF(F143="","缺少问题",IF(O143="是","先脱敏",IF(OR(C143="",E143=""),"补充场景","可提交")))</x:f>
        <x:v>缺少问题</x:v>
      </x:c>
    </x:row>
    <x:row r="144" ht="34" customHeight="1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5" t="str">
        <x:f>IF(F144="","缺少问题",IF(O144="是","先脱敏",IF(OR(C144="",E144=""),"补充场景","可提交")))</x:f>
        <x:v>缺少问题</x:v>
      </x:c>
    </x:row>
    <x:row r="145" ht="34" customHeight="1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5" t="str">
        <x:f>IF(F145="","缺少问题",IF(O145="是","先脱敏",IF(OR(C145="",E145=""),"补充场景","可提交")))</x:f>
        <x:v>缺少问题</x:v>
      </x:c>
    </x:row>
    <x:row r="146" ht="34" customHeight="1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5" t="str">
        <x:f>IF(F146="","缺少问题",IF(O146="是","先脱敏",IF(OR(C146="",E146=""),"补充场景","可提交")))</x:f>
        <x:v>缺少问题</x:v>
      </x:c>
    </x:row>
    <x:row r="147" ht="34" customHeight="1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5" t="str">
        <x:f>IF(F147="","缺少问题",IF(O147="是","先脱敏",IF(OR(C147="",E147=""),"补充场景","可提交")))</x:f>
        <x:v>缺少问题</x:v>
      </x:c>
    </x:row>
    <x:row r="148" ht="34" customHeight="1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5" t="str">
        <x:f>IF(F148="","缺少问题",IF(O148="是","先脱敏",IF(OR(C148="",E148=""),"补充场景","可提交")))</x:f>
        <x:v>缺少问题</x:v>
      </x:c>
    </x:row>
    <x:row r="149" ht="34" customHeight="1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5" t="str">
        <x:f>IF(F149="","缺少问题",IF(O149="是","先脱敏",IF(OR(C149="",E149=""),"补充场景","可提交")))</x:f>
        <x:v>缺少问题</x:v>
      </x:c>
    </x:row>
    <x:row r="150" ht="34" customHeight="1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5" t="str">
        <x:f>IF(F150="","缺少问题",IF(O150="是","先脱敏",IF(OR(C150="",E150=""),"补充场景","可提交")))</x:f>
        <x:v>缺少问题</x:v>
      </x:c>
    </x:row>
    <x:row r="151" ht="34" customHeight="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5" t="str">
        <x:f>IF(F151="","缺少问题",IF(O151="是","先脱敏",IF(OR(C151="",E151=""),"补充场景","可提交")))</x:f>
        <x:v>缺少问题</x:v>
      </x:c>
    </x:row>
    <x:row r="152" ht="34" customHeight="1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5" t="str">
        <x:f>IF(F152="","缺少问题",IF(O152="是","先脱敏",IF(OR(C152="",E152=""),"补充场景","可提交")))</x:f>
        <x:v>缺少问题</x:v>
      </x:c>
    </x:row>
    <x:row r="153" ht="34" customHeight="1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5" t="str">
        <x:f>IF(F153="","缺少问题",IF(O153="是","先脱敏",IF(OR(C153="",E153=""),"补充场景","可提交")))</x:f>
        <x:v>缺少问题</x:v>
      </x:c>
    </x:row>
    <x:row r="154" ht="34" customHeight="1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5" t="str">
        <x:f>IF(F154="","缺少问题",IF(O154="是","先脱敏",IF(OR(C154="",E154=""),"补充场景","可提交")))</x:f>
        <x:v>缺少问题</x:v>
      </x:c>
    </x:row>
    <x:row r="155" ht="34" customHeight="1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5" t="str">
        <x:f>IF(F155="","缺少问题",IF(O155="是","先脱敏",IF(OR(C155="",E155=""),"补充场景","可提交")))</x:f>
        <x:v>缺少问题</x:v>
      </x:c>
    </x:row>
    <x:row r="156" ht="34" customHeight="1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5" t="str">
        <x:f>IF(F156="","缺少问题",IF(O156="是","先脱敏",IF(OR(C156="",E156=""),"补充场景","可提交")))</x:f>
        <x:v>缺少问题</x:v>
      </x:c>
    </x:row>
    <x:row r="157" ht="34" customHeight="1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5" t="str">
        <x:f>IF(F157="","缺少问题",IF(O157="是","先脱敏",IF(OR(C157="",E157=""),"补充场景","可提交")))</x:f>
        <x:v>缺少问题</x:v>
      </x:c>
    </x:row>
    <x:row r="158" ht="34" customHeight="1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5" t="str">
        <x:f>IF(F158="","缺少问题",IF(O158="是","先脱敏",IF(OR(C158="",E158=""),"补充场景","可提交")))</x:f>
        <x:v>缺少问题</x:v>
      </x:c>
    </x:row>
    <x:row r="159" ht="34" customHeight="1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5" t="str">
        <x:f>IF(F159="","缺少问题",IF(O159="是","先脱敏",IF(OR(C159="",E159=""),"补充场景","可提交")))</x:f>
        <x:v>缺少问题</x:v>
      </x:c>
    </x:row>
    <x:row r="160" ht="34" customHeight="1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5" t="str">
        <x:f>IF(F160="","缺少问题",IF(O160="是","先脱敏",IF(OR(C160="",E160=""),"补充场景","可提交")))</x:f>
        <x:v>缺少问题</x:v>
      </x:c>
    </x:row>
    <x:row r="161" ht="34" customHeight="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5" t="str">
        <x:f>IF(F161="","缺少问题",IF(O161="是","先脱敏",IF(OR(C161="",E161=""),"补充场景","可提交")))</x:f>
        <x:v>缺少问题</x:v>
      </x:c>
    </x:row>
    <x:row r="162" ht="34" customHeight="1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5" t="str">
        <x:f>IF(F162="","缺少问题",IF(O162="是","先脱敏",IF(OR(C162="",E162=""),"补充场景","可提交")))</x:f>
        <x:v>缺少问题</x:v>
      </x:c>
    </x:row>
    <x:row r="163" ht="34" customHeight="1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5" t="str">
        <x:f>IF(F163="","缺少问题",IF(O163="是","先脱敏",IF(OR(C163="",E163=""),"补充场景","可提交")))</x:f>
        <x:v>缺少问题</x:v>
      </x:c>
    </x:row>
    <x:row r="164" ht="34" customHeight="1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5" t="str">
        <x:f>IF(F164="","缺少问题",IF(O164="是","先脱敏",IF(OR(C164="",E164=""),"补充场景","可提交")))</x:f>
        <x:v>缺少问题</x:v>
      </x:c>
    </x:row>
    <x:row r="165" ht="34" customHeight="1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5" t="str">
        <x:f>IF(F165="","缺少问题",IF(O165="是","先脱敏",IF(OR(C165="",E165=""),"补充场景","可提交")))</x:f>
        <x:v>缺少问题</x:v>
      </x:c>
    </x:row>
    <x:row r="166" ht="34" customHeight="1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5" t="str">
        <x:f>IF(F166="","缺少问题",IF(O166="是","先脱敏",IF(OR(C166="",E166=""),"补充场景","可提交")))</x:f>
        <x:v>缺少问题</x:v>
      </x:c>
    </x:row>
    <x:row r="167" ht="34" customHeight="1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5" t="str">
        <x:f>IF(F167="","缺少问题",IF(O167="是","先脱敏",IF(OR(C167="",E167=""),"补充场景","可提交")))</x:f>
        <x:v>缺少问题</x:v>
      </x:c>
    </x:row>
    <x:row r="168" ht="34" customHeight="1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5" t="str">
        <x:f>IF(F168="","缺少问题",IF(O168="是","先脱敏",IF(OR(C168="",E168=""),"补充场景","可提交")))</x:f>
        <x:v>缺少问题</x:v>
      </x:c>
    </x:row>
    <x:row r="169" ht="34" customHeight="1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5" t="str">
        <x:f>IF(F169="","缺少问题",IF(O169="是","先脱敏",IF(OR(C169="",E169=""),"补充场景","可提交")))</x:f>
        <x:v>缺少问题</x:v>
      </x:c>
    </x:row>
    <x:row r="170" ht="34" customHeight="1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5" t="str">
        <x:f>IF(F170="","缺少问题",IF(O170="是","先脱敏",IF(OR(C170="",E170=""),"补充场景","可提交")))</x:f>
        <x:v>缺少问题</x:v>
      </x:c>
    </x:row>
    <x:row r="171" ht="34" customHeight="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5" t="str">
        <x:f>IF(F171="","缺少问题",IF(O171="是","先脱敏",IF(OR(C171="",E171=""),"补充场景","可提交")))</x:f>
        <x:v>缺少问题</x:v>
      </x:c>
    </x:row>
    <x:row r="172" ht="34" customHeight="1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5" t="str">
        <x:f>IF(F172="","缺少问题",IF(O172="是","先脱敏",IF(OR(C172="",E172=""),"补充场景","可提交")))</x:f>
        <x:v>缺少问题</x:v>
      </x:c>
    </x:row>
    <x:row r="173" ht="34" customHeight="1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5" t="str">
        <x:f>IF(F173="","缺少问题",IF(O173="是","先脱敏",IF(OR(C173="",E173=""),"补充场景","可提交")))</x:f>
        <x:v>缺少问题</x:v>
      </x:c>
    </x:row>
    <x:row r="174" ht="34" customHeight="1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5" t="str">
        <x:f>IF(F174="","缺少问题",IF(O174="是","先脱敏",IF(OR(C174="",E174=""),"补充场景","可提交")))</x:f>
        <x:v>缺少问题</x:v>
      </x:c>
    </x:row>
    <x:row r="175" ht="34" customHeight="1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5" t="str">
        <x:f>IF(F175="","缺少问题",IF(O175="是","先脱敏",IF(OR(C175="",E175=""),"补充场景","可提交")))</x:f>
        <x:v>缺少问题</x:v>
      </x:c>
    </x:row>
    <x:row r="176" ht="34" customHeight="1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5" t="str">
        <x:f>IF(F176="","缺少问题",IF(O176="是","先脱敏",IF(OR(C176="",E176=""),"补充场景","可提交")))</x:f>
        <x:v>缺少问题</x:v>
      </x:c>
    </x:row>
    <x:row r="177" ht="34" customHeight="1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5" t="str">
        <x:f>IF(F177="","缺少问题",IF(O177="是","先脱敏",IF(OR(C177="",E177=""),"补充场景","可提交")))</x:f>
        <x:v>缺少问题</x:v>
      </x:c>
    </x:row>
    <x:row r="178" ht="34" customHeight="1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5" t="str">
        <x:f>IF(F178="","缺少问题",IF(O178="是","先脱敏",IF(OR(C178="",E178=""),"补充场景","可提交")))</x:f>
        <x:v>缺少问题</x:v>
      </x:c>
    </x:row>
    <x:row r="179" ht="34" customHeight="1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5" t="str">
        <x:f>IF(F179="","缺少问题",IF(O179="是","先脱敏",IF(OR(C179="",E179=""),"补充场景","可提交")))</x:f>
        <x:v>缺少问题</x:v>
      </x:c>
    </x:row>
    <x:row r="180" ht="34" customHeight="1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5" t="str">
        <x:f>IF(F180="","缺少问题",IF(O180="是","先脱敏",IF(OR(C180="",E180=""),"补充场景","可提交")))</x:f>
        <x:v>缺少问题</x:v>
      </x:c>
    </x:row>
    <x:row r="181" ht="34" customHeight="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5" t="str">
        <x:f>IF(F181="","缺少问题",IF(O181="是","先脱敏",IF(OR(C181="",E181=""),"补充场景","可提交")))</x:f>
        <x:v>缺少问题</x:v>
      </x:c>
    </x:row>
    <x:row r="182" ht="34" customHeight="1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5" t="str">
        <x:f>IF(F182="","缺少问题",IF(O182="是","先脱敏",IF(OR(C182="",E182=""),"补充场景","可提交")))</x:f>
        <x:v>缺少问题</x:v>
      </x:c>
    </x:row>
    <x:row r="183" ht="34" customHeight="1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5" t="str">
        <x:f>IF(F183="","缺少问题",IF(O183="是","先脱敏",IF(OR(C183="",E183=""),"补充场景","可提交")))</x:f>
        <x:v>缺少问题</x:v>
      </x:c>
    </x:row>
    <x:row r="184" ht="34" customHeight="1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5" t="str">
        <x:f>IF(F184="","缺少问题",IF(O184="是","先脱敏",IF(OR(C184="",E184=""),"补充场景","可提交")))</x:f>
        <x:v>缺少问题</x:v>
      </x:c>
    </x:row>
    <x:row r="185" ht="34" customHeight="1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5" t="str">
        <x:f>IF(F185="","缺少问题",IF(O185="是","先脱敏",IF(OR(C185="",E185=""),"补充场景","可提交")))</x:f>
        <x:v>缺少问题</x:v>
      </x:c>
    </x:row>
    <x:row r="186" ht="34" customHeight="1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5" t="str">
        <x:f>IF(F186="","缺少问题",IF(O186="是","先脱敏",IF(OR(C186="",E186=""),"补充场景","可提交")))</x:f>
        <x:v>缺少问题</x:v>
      </x:c>
    </x:row>
    <x:row r="187" ht="34" customHeight="1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5" t="str">
        <x:f>IF(F187="","缺少问题",IF(O187="是","先脱敏",IF(OR(C187="",E187=""),"补充场景","可提交")))</x:f>
        <x:v>缺少问题</x:v>
      </x:c>
    </x:row>
    <x:row r="188" ht="34" customHeight="1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5" t="str">
        <x:f>IF(F188="","缺少问题",IF(O188="是","先脱敏",IF(OR(C188="",E188=""),"补充场景","可提交")))</x:f>
        <x:v>缺少问题</x:v>
      </x:c>
    </x:row>
    <x:row r="189" ht="34" customHeight="1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5" t="str">
        <x:f>IF(F189="","缺少问题",IF(O189="是","先脱敏",IF(OR(C189="",E189=""),"补充场景","可提交")))</x:f>
        <x:v>缺少问题</x:v>
      </x:c>
    </x:row>
    <x:row r="190" ht="34" customHeight="1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5" t="str">
        <x:f>IF(F190="","缺少问题",IF(O190="是","先脱敏",IF(OR(C190="",E190=""),"补充场景","可提交")))</x:f>
        <x:v>缺少问题</x:v>
      </x:c>
    </x:row>
    <x:row r="191" ht="34" customHeight="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5" t="str">
        <x:f>IF(F191="","缺少问题",IF(O191="是","先脱敏",IF(OR(C191="",E191=""),"补充场景","可提交")))</x:f>
        <x:v>缺少问题</x:v>
      </x:c>
    </x:row>
    <x:row r="192" ht="34" customHeight="1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5" t="str">
        <x:f>IF(F192="","缺少问题",IF(O192="是","先脱敏",IF(OR(C192="",E192=""),"补充场景","可提交")))</x:f>
        <x:v>缺少问题</x:v>
      </x:c>
    </x:row>
    <x:row r="193" ht="34" customHeight="1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5" t="str">
        <x:f>IF(F193="","缺少问题",IF(O193="是","先脱敏",IF(OR(C193="",E193=""),"补充场景","可提交")))</x:f>
        <x:v>缺少问题</x:v>
      </x:c>
    </x:row>
    <x:row r="194" ht="34" customHeight="1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5" t="str">
        <x:f>IF(F194="","缺少问题",IF(O194="是","先脱敏",IF(OR(C194="",E194=""),"补充场景","可提交")))</x:f>
        <x:v>缺少问题</x:v>
      </x:c>
    </x:row>
    <x:row r="195" ht="34" customHeight="1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5" t="str">
        <x:f>IF(F195="","缺少问题",IF(O195="是","先脱敏",IF(OR(C195="",E195=""),"补充场景","可提交")))</x:f>
        <x:v>缺少问题</x:v>
      </x:c>
    </x:row>
    <x:row r="196" ht="34" customHeight="1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5" t="str">
        <x:f>IF(F196="","缺少问题",IF(O196="是","先脱敏",IF(OR(C196="",E196=""),"补充场景","可提交")))</x:f>
        <x:v>缺少问题</x:v>
      </x:c>
    </x:row>
    <x:row r="197" ht="34" customHeight="1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5" t="str">
        <x:f>IF(F197="","缺少问题",IF(O197="是","先脱敏",IF(OR(C197="",E197=""),"补充场景","可提交")))</x:f>
        <x:v>缺少问题</x:v>
      </x:c>
    </x:row>
    <x:row r="198" ht="34" customHeight="1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5" t="str">
        <x:f>IF(F198="","缺少问题",IF(O198="是","先脱敏",IF(OR(C198="",E198=""),"补充场景","可提交")))</x:f>
        <x:v>缺少问题</x:v>
      </x:c>
    </x:row>
    <x:row r="199" ht="34" customHeight="1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5" t="str">
        <x:f>IF(F199="","缺少问题",IF(O199="是","先脱敏",IF(OR(C199="",E199=""),"补充场景","可提交")))</x:f>
        <x:v>缺少问题</x:v>
      </x:c>
    </x:row>
    <x:row r="200" ht="34" customHeight="1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5" t="str">
        <x:f>IF(F200="","缺少问题",IF(O200="是","先脱敏",IF(OR(C200="",E200=""),"补充场景","可提交")))</x:f>
        <x:v>缺少问题</x:v>
      </x:c>
    </x:row>
    <x:row r="201" ht="34" customHeight="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5" t="str">
        <x:f>IF(F201="","缺少问题",IF(O201="是","先脱敏",IF(OR(C201="",E201=""),"补充场景","可提交")))</x:f>
        <x:v>缺少问题</x:v>
      </x:c>
    </x:row>
    <x:row r="202" ht="34" customHeight="1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5" t="str">
        <x:f>IF(F202="","缺少问题",IF(O202="是","先脱敏",IF(OR(C202="",E202=""),"补充场景","可提交")))</x:f>
        <x:v>缺少问题</x:v>
      </x:c>
    </x:row>
    <x:row r="203" ht="34" customHeight="1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5" t="str">
        <x:f>IF(F203="","缺少问题",IF(O203="是","先脱敏",IF(OR(C203="",E203=""),"补充场景","可提交")))</x:f>
        <x:v>缺少问题</x:v>
      </x:c>
    </x:row>
    <x:row r="204" ht="34" customHeight="1">
      <x:c r="A204" s="34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5" t="str">
        <x:f>IF(F204="","缺少问题",IF(O204="是","先脱敏",IF(OR(C204="",E204=""),"补充场景","可提交")))</x:f>
        <x:v>缺少问题</x:v>
      </x:c>
    </x:row>
  </x:sheetData>
  <x:conditionalFormatting sqref="Q5:Q204">
    <x:cfRule type="containsText" dxfId="0" priority="1" operator="containsText" text="可提交"/>
    <x:cfRule type="containsText" dxfId="1" priority="2" operator="containsText" text="可冻结"/>
    <x:cfRule type="containsText" dxfId="2" priority="3" operator="containsText" text="可用"/>
    <x:cfRule type="containsText" dxfId="3" priority="4" operator="containsText" text="缺少"/>
    <x:cfRule type="containsText" dxfId="4" priority="5" operator="containsText" text="待"/>
  </x:conditionalFormatting>
  <x:dataValidations count="4">
    <x:dataValidation type="list" sqref="H5:H204">
      <x:formula1>"事实定义,职责主体,办理流程,材料清单,时限日期,条件例外,数值阈值,表格计算,比较判断,跨制度,不可回答边界,冲突线索,不确定"</x:formula1>
    </x:dataValidation>
    <x:dataValidation type="list" sqref="I5:I204">
      <x:formula1>"简单,中等,困难,不确定"</x:formula1>
    </x:dataValidation>
    <x:dataValidation type="list" sqref="J5:J204">
      <x:formula1>"ANSWER,INSUFFICIENT_EVIDENCE,CONFLICT,不确定"</x:formula1>
    </x:dataValidation>
    <x:dataValidation type="list" sqref="O5:O204">
      <x:formula1>"否,是"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5b062cd5584a87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23" hidden="0" customWidth="1"/>
    <x:col min="5" max="5" width="48" hidden="0" customWidth="1"/>
    <x:col min="6" max="6" width="20" hidden="0" customWidth="1"/>
    <x:col min="7" max="7" width="20" hidden="0" customWidth="1"/>
    <x:col min="8" max="8" width="13" hidden="0" customWidth="1"/>
    <x:col min="9" max="9" width="17" hidden="0" customWidth="1"/>
    <x:col min="10" max="10" width="25" hidden="0" customWidth="1"/>
    <x:col min="11" max="11" width="55" hidden="0" customWidth="1"/>
    <x:col min="12" max="12" width="45" hidden="0" customWidth="1"/>
    <x:col min="13" max="13" width="45" hidden="0" customWidth="1"/>
    <x:col min="14" max="14" width="18" hidden="0" customWidth="1"/>
    <x:col min="15" max="15" width="48" hidden="0" customWidth="1"/>
    <x:col min="16" max="16" width="34" hidden="0" customWidth="1"/>
    <x:col min="17" max="17" width="15" hidden="0" customWidth="1"/>
    <x:col min="18" max="18" width="20" hidden="0" customWidth="1"/>
    <x:col min="19" max="19" width="16" hidden="0" customWidth="1"/>
    <x:col min="20" max="20" width="20" hidden="0" customWidth="1"/>
    <x:col min="21" max="21" width="16" hidden="0" customWidth="1"/>
    <x:col min="22" max="22" width="35" hidden="0" customWidth="1"/>
    <x:col min="23" max="23" width="24" hidden="0" customWidth="1"/>
  </x:cols>
  <x:sheetData>
    <x:row r="1" ht="25" customHeight="1">
      <x:c r="A1" s="2" t="str">
        <x:v>专家金标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</x:row>
    <x:row r="2" ht="25" customHeight="1">
      <x:c r="A2" s="58" t="str">
        <x:v>由业务专家和测试负责人填写。HOLDOUT 金标不得向研发泄漏。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</x:row>
    <x:row r="4" ht="36" customHeight="1">
      <x:c r="A4" s="59" t="str">
        <x:v>case_id</x:v>
      </x:c>
      <x:c r="B4" s="59" t="str">
        <x:v>征集编号</x:v>
      </x:c>
      <x:c r="C4" s="59" t="str">
        <x:v>数据分区</x:v>
      </x:c>
      <x:c r="D4" s="59" t="str">
        <x:v>paraphrase_group_id</x:v>
      </x:c>
      <x:c r="E4" s="59" t="str">
        <x:v>标准化问题</x:v>
      </x:c>
      <x:c r="F4" s="59" t="str">
        <x:v>业务领域</x:v>
      </x:c>
      <x:c r="G4" s="59" t="str">
        <x:v>题型</x:v>
      </x:c>
      <x:c r="H4" s="59" t="str">
        <x:v>难度</x:v>
      </x:c>
      <x:c r="I4" s="59" t="str">
        <x:v>query_scope</x:v>
      </x:c>
      <x:c r="J4" s="59" t="str">
        <x:v>预期状态</x:v>
      </x:c>
      <x:c r="K4" s="59" t="str">
        <x:v>必答关键点</x:v>
      </x:c>
      <x:c r="L4" s="59" t="str">
        <x:v>可选补充点</x:v>
      </x:c>
      <x:c r="M4" s="59" t="str">
        <x:v>禁止输出点</x:v>
      </x:c>
      <x:c r="N4" s="59" t="str">
        <x:v>证据满足方式</x:v>
      </x:c>
      <x:c r="O4" s="59" t="str">
        <x:v>证据不足原因</x:v>
      </x:c>
      <x:c r="P4" s="59" t="str">
        <x:v>冲突主题</x:v>
      </x:c>
      <x:c r="Q4" s="59" t="str">
        <x:v>冲突立场数</x:v>
      </x:c>
      <x:c r="R4" s="59" t="str">
        <x:v>复核人角色</x:v>
      </x:c>
      <x:c r="S4" s="59" t="str">
        <x:v>复核状态</x:v>
      </x:c>
      <x:c r="T4" s="59" t="str">
        <x:v>数据集版本</x:v>
      </x:c>
      <x:c r="U4" s="59" t="str">
        <x:v>适用日期</x:v>
      </x:c>
      <x:c r="V4" s="59" t="str">
        <x:v>备注</x:v>
      </x:c>
      <x:c r="W4" s="59" t="str">
        <x:v>完整性检查</x:v>
      </x:c>
    </x:row>
    <x:row r="5" ht="34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40"/>
      <x:c r="V5" s="32"/>
      <x:c r="W5" s="33" t="str">
        <x:f>IF(A5="","",IF(E5="","缺少标准问题",IF(J5="","缺少预期状态",IF(AND(J5="ANSWER",K5=""),"缺少必答关键点",IF(AND(J5="INSUFFICIENT_EVIDENCE",O5=""),"缺少证据不足原因",IF(AND(J5="CONFLICT",OR(P5="",Q5&lt;2)),"补充冲突标注",IF(S5&lt;&gt;"已确认","待复核","可冻结")))))))</x:f>
      </x:c>
    </x:row>
    <x:row r="6" ht="34" customHeight="1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41"/>
      <x:c r="V6" s="34"/>
      <x:c r="W6" s="35" t="str">
        <x:f>IF(A6="","",IF(E6="","缺少标准问题",IF(J6="","缺少预期状态",IF(AND(J6="ANSWER",K6=""),"缺少必答关键点",IF(AND(J6="INSUFFICIENT_EVIDENCE",O6=""),"缺少证据不足原因",IF(AND(J6="CONFLICT",OR(P6="",Q6&lt;2)),"补充冲突标注",IF(S6&lt;&gt;"已确认","待复核","可冻结")))))))</x:f>
      </x:c>
    </x:row>
    <x:row r="7" ht="34" customHeight="1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41"/>
      <x:c r="V7" s="34"/>
      <x:c r="W7" s="35" t="str">
        <x:f>IF(A7="","",IF(E7="","缺少标准问题",IF(J7="","缺少预期状态",IF(AND(J7="ANSWER",K7=""),"缺少必答关键点",IF(AND(J7="INSUFFICIENT_EVIDENCE",O7=""),"缺少证据不足原因",IF(AND(J7="CONFLICT",OR(P7="",Q7&lt;2)),"补充冲突标注",IF(S7&lt;&gt;"已确认","待复核","可冻结")))))))</x:f>
      </x:c>
    </x:row>
    <x:row r="8" ht="34" customHeight="1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41"/>
      <x:c r="V8" s="34"/>
      <x:c r="W8" s="35" t="str">
        <x:f>IF(A8="","",IF(E8="","缺少标准问题",IF(J8="","缺少预期状态",IF(AND(J8="ANSWER",K8=""),"缺少必答关键点",IF(AND(J8="INSUFFICIENT_EVIDENCE",O8=""),"缺少证据不足原因",IF(AND(J8="CONFLICT",OR(P8="",Q8&lt;2)),"补充冲突标注",IF(S8&lt;&gt;"已确认","待复核","可冻结")))))))</x:f>
      </x:c>
    </x:row>
    <x:row r="9" ht="34" customHeight="1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41"/>
      <x:c r="V9" s="34"/>
      <x:c r="W9" s="35" t="str">
        <x:f>IF(A9="","",IF(E9="","缺少标准问题",IF(J9="","缺少预期状态",IF(AND(J9="ANSWER",K9=""),"缺少必答关键点",IF(AND(J9="INSUFFICIENT_EVIDENCE",O9=""),"缺少证据不足原因",IF(AND(J9="CONFLICT",OR(P9="",Q9&lt;2)),"补充冲突标注",IF(S9&lt;&gt;"已确认","待复核","可冻结")))))))</x:f>
      </x:c>
    </x:row>
    <x:row r="10" ht="34" customHeight="1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41"/>
      <x:c r="V10" s="34"/>
      <x:c r="W10" s="35" t="str">
        <x:f>IF(A10="","",IF(E10="","缺少标准问题",IF(J10="","缺少预期状态",IF(AND(J10="ANSWER",K10=""),"缺少必答关键点",IF(AND(J10="INSUFFICIENT_EVIDENCE",O10=""),"缺少证据不足原因",IF(AND(J10="CONFLICT",OR(P10="",Q10&lt;2)),"补充冲突标注",IF(S10&lt;&gt;"已确认","待复核","可冻结")))))))</x:f>
      </x:c>
    </x:row>
    <x:row r="11" ht="34" customHeight="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41"/>
      <x:c r="V11" s="34"/>
      <x:c r="W11" s="35" t="str">
        <x:f>IF(A11="","",IF(E11="","缺少标准问题",IF(J11="","缺少预期状态",IF(AND(J11="ANSWER",K11=""),"缺少必答关键点",IF(AND(J11="INSUFFICIENT_EVIDENCE",O11=""),"缺少证据不足原因",IF(AND(J11="CONFLICT",OR(P11="",Q11&lt;2)),"补充冲突标注",IF(S11&lt;&gt;"已确认","待复核","可冻结")))))))</x:f>
      </x:c>
    </x:row>
    <x:row r="12" ht="34" customHeight="1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41"/>
      <x:c r="V12" s="34"/>
      <x:c r="W12" s="35" t="str">
        <x:f>IF(A12="","",IF(E12="","缺少标准问题",IF(J12="","缺少预期状态",IF(AND(J12="ANSWER",K12=""),"缺少必答关键点",IF(AND(J12="INSUFFICIENT_EVIDENCE",O12=""),"缺少证据不足原因",IF(AND(J12="CONFLICT",OR(P12="",Q12&lt;2)),"补充冲突标注",IF(S12&lt;&gt;"已确认","待复核","可冻结")))))))</x:f>
      </x:c>
    </x:row>
    <x:row r="13" ht="34" customHeight="1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41"/>
      <x:c r="V13" s="34"/>
      <x:c r="W13" s="35" t="str">
        <x:f>IF(A13="","",IF(E13="","缺少标准问题",IF(J13="","缺少预期状态",IF(AND(J13="ANSWER",K13=""),"缺少必答关键点",IF(AND(J13="INSUFFICIENT_EVIDENCE",O13=""),"缺少证据不足原因",IF(AND(J13="CONFLICT",OR(P13="",Q13&lt;2)),"补充冲突标注",IF(S13&lt;&gt;"已确认","待复核","可冻结")))))))</x:f>
      </x:c>
    </x:row>
    <x:row r="14" ht="34" customHeight="1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41"/>
      <x:c r="V14" s="34"/>
      <x:c r="W14" s="35" t="str">
        <x:f>IF(A14="","",IF(E14="","缺少标准问题",IF(J14="","缺少预期状态",IF(AND(J14="ANSWER",K14=""),"缺少必答关键点",IF(AND(J14="INSUFFICIENT_EVIDENCE",O14=""),"缺少证据不足原因",IF(AND(J14="CONFLICT",OR(P14="",Q14&lt;2)),"补充冲突标注",IF(S14&lt;&gt;"已确认","待复核","可冻结")))))))</x:f>
      </x:c>
    </x:row>
    <x:row r="15" ht="34" customHeight="1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41"/>
      <x:c r="V15" s="34"/>
      <x:c r="W15" s="35" t="str">
        <x:f>IF(A15="","",IF(E15="","缺少标准问题",IF(J15="","缺少预期状态",IF(AND(J15="ANSWER",K15=""),"缺少必答关键点",IF(AND(J15="INSUFFICIENT_EVIDENCE",O15=""),"缺少证据不足原因",IF(AND(J15="CONFLICT",OR(P15="",Q15&lt;2)),"补充冲突标注",IF(S15&lt;&gt;"已确认","待复核","可冻结")))))))</x:f>
      </x:c>
    </x:row>
    <x:row r="16" ht="34" customHeight="1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41"/>
      <x:c r="V16" s="34"/>
      <x:c r="W16" s="35" t="str">
        <x:f>IF(A16="","",IF(E16="","缺少标准问题",IF(J16="","缺少预期状态",IF(AND(J16="ANSWER",K16=""),"缺少必答关键点",IF(AND(J16="INSUFFICIENT_EVIDENCE",O16=""),"缺少证据不足原因",IF(AND(J16="CONFLICT",OR(P16="",Q16&lt;2)),"补充冲突标注",IF(S16&lt;&gt;"已确认","待复核","可冻结")))))))</x:f>
      </x:c>
    </x:row>
    <x:row r="17" ht="34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41"/>
      <x:c r="V17" s="34"/>
      <x:c r="W17" s="35" t="str">
        <x:f>IF(A17="","",IF(E17="","缺少标准问题",IF(J17="","缺少预期状态",IF(AND(J17="ANSWER",K17=""),"缺少必答关键点",IF(AND(J17="INSUFFICIENT_EVIDENCE",O17=""),"缺少证据不足原因",IF(AND(J17="CONFLICT",OR(P17="",Q17&lt;2)),"补充冲突标注",IF(S17&lt;&gt;"已确认","待复核","可冻结")))))))</x:f>
      </x:c>
    </x:row>
    <x:row r="18" ht="34" customHeight="1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41"/>
      <x:c r="V18" s="34"/>
      <x:c r="W18" s="35" t="str">
        <x:f>IF(A18="","",IF(E18="","缺少标准问题",IF(J18="","缺少预期状态",IF(AND(J18="ANSWER",K18=""),"缺少必答关键点",IF(AND(J18="INSUFFICIENT_EVIDENCE",O18=""),"缺少证据不足原因",IF(AND(J18="CONFLICT",OR(P18="",Q18&lt;2)),"补充冲突标注",IF(S18&lt;&gt;"已确认","待复核","可冻结")))))))</x:f>
      </x:c>
    </x:row>
    <x:row r="19" ht="34" customHeight="1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41"/>
      <x:c r="V19" s="34"/>
      <x:c r="W19" s="35" t="str">
        <x:f>IF(A19="","",IF(E19="","缺少标准问题",IF(J19="","缺少预期状态",IF(AND(J19="ANSWER",K19=""),"缺少必答关键点",IF(AND(J19="INSUFFICIENT_EVIDENCE",O19=""),"缺少证据不足原因",IF(AND(J19="CONFLICT",OR(P19="",Q19&lt;2)),"补充冲突标注",IF(S19&lt;&gt;"已确认","待复核","可冻结")))))))</x:f>
      </x:c>
    </x:row>
    <x:row r="20" ht="34" customHeight="1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41"/>
      <x:c r="V20" s="34"/>
      <x:c r="W20" s="35" t="str">
        <x:f>IF(A20="","",IF(E20="","缺少标准问题",IF(J20="","缺少预期状态",IF(AND(J20="ANSWER",K20=""),"缺少必答关键点",IF(AND(J20="INSUFFICIENT_EVIDENCE",O20=""),"缺少证据不足原因",IF(AND(J20="CONFLICT",OR(P20="",Q20&lt;2)),"补充冲突标注",IF(S20&lt;&gt;"已确认","待复核","可冻结")))))))</x:f>
      </x:c>
    </x:row>
    <x:row r="21" ht="34" customHeight="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41"/>
      <x:c r="V21" s="34"/>
      <x:c r="W21" s="35" t="str">
        <x:f>IF(A21="","",IF(E21="","缺少标准问题",IF(J21="","缺少预期状态",IF(AND(J21="ANSWER",K21=""),"缺少必答关键点",IF(AND(J21="INSUFFICIENT_EVIDENCE",O21=""),"缺少证据不足原因",IF(AND(J21="CONFLICT",OR(P21="",Q21&lt;2)),"补充冲突标注",IF(S21&lt;&gt;"已确认","待复核","可冻结")))))))</x:f>
      </x:c>
    </x:row>
    <x:row r="22" ht="34" customHeight="1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41"/>
      <x:c r="V22" s="34"/>
      <x:c r="W22" s="35" t="str">
        <x:f>IF(A22="","",IF(E22="","缺少标准问题",IF(J22="","缺少预期状态",IF(AND(J22="ANSWER",K22=""),"缺少必答关键点",IF(AND(J22="INSUFFICIENT_EVIDENCE",O22=""),"缺少证据不足原因",IF(AND(J22="CONFLICT",OR(P22="",Q22&lt;2)),"补充冲突标注",IF(S22&lt;&gt;"已确认","待复核","可冻结")))))))</x:f>
      </x:c>
    </x:row>
    <x:row r="23" ht="34" customHeight="1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41"/>
      <x:c r="V23" s="34"/>
      <x:c r="W23" s="35" t="str">
        <x:f>IF(A23="","",IF(E23="","缺少标准问题",IF(J23="","缺少预期状态",IF(AND(J23="ANSWER",K23=""),"缺少必答关键点",IF(AND(J23="INSUFFICIENT_EVIDENCE",O23=""),"缺少证据不足原因",IF(AND(J23="CONFLICT",OR(P23="",Q23&lt;2)),"补充冲突标注",IF(S23&lt;&gt;"已确认","待复核","可冻结")))))))</x:f>
      </x:c>
    </x:row>
    <x:row r="24" ht="34" customHeight="1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41"/>
      <x:c r="V24" s="34"/>
      <x:c r="W24" s="35" t="str">
        <x:f>IF(A24="","",IF(E24="","缺少标准问题",IF(J24="","缺少预期状态",IF(AND(J24="ANSWER",K24=""),"缺少必答关键点",IF(AND(J24="INSUFFICIENT_EVIDENCE",O24=""),"缺少证据不足原因",IF(AND(J24="CONFLICT",OR(P24="",Q24&lt;2)),"补充冲突标注",IF(S24&lt;&gt;"已确认","待复核","可冻结")))))))</x:f>
      </x:c>
    </x:row>
    <x:row r="25" ht="34" customHeight="1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41"/>
      <x:c r="V25" s="34"/>
      <x:c r="W25" s="35" t="str">
        <x:f>IF(A25="","",IF(E25="","缺少标准问题",IF(J25="","缺少预期状态",IF(AND(J25="ANSWER",K25=""),"缺少必答关键点",IF(AND(J25="INSUFFICIENT_EVIDENCE",O25=""),"缺少证据不足原因",IF(AND(J25="CONFLICT",OR(P25="",Q25&lt;2)),"补充冲突标注",IF(S25&lt;&gt;"已确认","待复核","可冻结")))))))</x:f>
      </x:c>
    </x:row>
    <x:row r="26" ht="34" customHeight="1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41"/>
      <x:c r="V26" s="34"/>
      <x:c r="W26" s="35" t="str">
        <x:f>IF(A26="","",IF(E26="","缺少标准问题",IF(J26="","缺少预期状态",IF(AND(J26="ANSWER",K26=""),"缺少必答关键点",IF(AND(J26="INSUFFICIENT_EVIDENCE",O26=""),"缺少证据不足原因",IF(AND(J26="CONFLICT",OR(P26="",Q26&lt;2)),"补充冲突标注",IF(S26&lt;&gt;"已确认","待复核","可冻结")))))))</x:f>
      </x:c>
    </x:row>
    <x:row r="27" ht="34" customHeight="1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41"/>
      <x:c r="V27" s="34"/>
      <x:c r="W27" s="35" t="str">
        <x:f>IF(A27="","",IF(E27="","缺少标准问题",IF(J27="","缺少预期状态",IF(AND(J27="ANSWER",K27=""),"缺少必答关键点",IF(AND(J27="INSUFFICIENT_EVIDENCE",O27=""),"缺少证据不足原因",IF(AND(J27="CONFLICT",OR(P27="",Q27&lt;2)),"补充冲突标注",IF(S27&lt;&gt;"已确认","待复核","可冻结")))))))</x:f>
      </x:c>
    </x:row>
    <x:row r="28" ht="34" customHeight="1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41"/>
      <x:c r="V28" s="34"/>
      <x:c r="W28" s="35" t="str">
        <x:f>IF(A28="","",IF(E28="","缺少标准问题",IF(J28="","缺少预期状态",IF(AND(J28="ANSWER",K28=""),"缺少必答关键点",IF(AND(J28="INSUFFICIENT_EVIDENCE",O28=""),"缺少证据不足原因",IF(AND(J28="CONFLICT",OR(P28="",Q28&lt;2)),"补充冲突标注",IF(S28&lt;&gt;"已确认","待复核","可冻结")))))))</x:f>
      </x:c>
    </x:row>
    <x:row r="29" ht="34" customHeight="1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41"/>
      <x:c r="V29" s="34"/>
      <x:c r="W29" s="35" t="str">
        <x:f>IF(A29="","",IF(E29="","缺少标准问题",IF(J29="","缺少预期状态",IF(AND(J29="ANSWER",K29=""),"缺少必答关键点",IF(AND(J29="INSUFFICIENT_EVIDENCE",O29=""),"缺少证据不足原因",IF(AND(J29="CONFLICT",OR(P29="",Q29&lt;2)),"补充冲突标注",IF(S29&lt;&gt;"已确认","待复核","可冻结")))))))</x:f>
      </x:c>
    </x:row>
    <x:row r="30" ht="34" customHeight="1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41"/>
      <x:c r="V30" s="34"/>
      <x:c r="W30" s="35" t="str">
        <x:f>IF(A30="","",IF(E30="","缺少标准问题",IF(J30="","缺少预期状态",IF(AND(J30="ANSWER",K30=""),"缺少必答关键点",IF(AND(J30="INSUFFICIENT_EVIDENCE",O30=""),"缺少证据不足原因",IF(AND(J30="CONFLICT",OR(P30="",Q30&lt;2)),"补充冲突标注",IF(S30&lt;&gt;"已确认","待复核","可冻结")))))))</x:f>
      </x:c>
    </x:row>
    <x:row r="31" ht="34" customHeight="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41"/>
      <x:c r="V31" s="34"/>
      <x:c r="W31" s="35" t="str">
        <x:f>IF(A31="","",IF(E31="","缺少标准问题",IF(J31="","缺少预期状态",IF(AND(J31="ANSWER",K31=""),"缺少必答关键点",IF(AND(J31="INSUFFICIENT_EVIDENCE",O31=""),"缺少证据不足原因",IF(AND(J31="CONFLICT",OR(P31="",Q31&lt;2)),"补充冲突标注",IF(S31&lt;&gt;"已确认","待复核","可冻结")))))))</x:f>
      </x:c>
    </x:row>
    <x:row r="32" ht="34" customHeight="1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41"/>
      <x:c r="V32" s="34"/>
      <x:c r="W32" s="35" t="str">
        <x:f>IF(A32="","",IF(E32="","缺少标准问题",IF(J32="","缺少预期状态",IF(AND(J32="ANSWER",K32=""),"缺少必答关键点",IF(AND(J32="INSUFFICIENT_EVIDENCE",O32=""),"缺少证据不足原因",IF(AND(J32="CONFLICT",OR(P32="",Q32&lt;2)),"补充冲突标注",IF(S32&lt;&gt;"已确认","待复核","可冻结")))))))</x:f>
      </x:c>
    </x:row>
    <x:row r="33" ht="34" customHeight="1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41"/>
      <x:c r="V33" s="34"/>
      <x:c r="W33" s="35" t="str">
        <x:f>IF(A33="","",IF(E33="","缺少标准问题",IF(J33="","缺少预期状态",IF(AND(J33="ANSWER",K33=""),"缺少必答关键点",IF(AND(J33="INSUFFICIENT_EVIDENCE",O33=""),"缺少证据不足原因",IF(AND(J33="CONFLICT",OR(P33="",Q33&lt;2)),"补充冲突标注",IF(S33&lt;&gt;"已确认","待复核","可冻结")))))))</x:f>
      </x:c>
    </x:row>
    <x:row r="34" ht="34" customHeight="1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41"/>
      <x:c r="V34" s="34"/>
      <x:c r="W34" s="35" t="str">
        <x:f>IF(A34="","",IF(E34="","缺少标准问题",IF(J34="","缺少预期状态",IF(AND(J34="ANSWER",K34=""),"缺少必答关键点",IF(AND(J34="INSUFFICIENT_EVIDENCE",O34=""),"缺少证据不足原因",IF(AND(J34="CONFLICT",OR(P34="",Q34&lt;2)),"补充冲突标注",IF(S34&lt;&gt;"已确认","待复核","可冻结")))))))</x:f>
      </x:c>
    </x:row>
    <x:row r="35" ht="34" customHeight="1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41"/>
      <x:c r="V35" s="34"/>
      <x:c r="W35" s="35" t="str">
        <x:f>IF(A35="","",IF(E35="","缺少标准问题",IF(J35="","缺少预期状态",IF(AND(J35="ANSWER",K35=""),"缺少必答关键点",IF(AND(J35="INSUFFICIENT_EVIDENCE",O35=""),"缺少证据不足原因",IF(AND(J35="CONFLICT",OR(P35="",Q35&lt;2)),"补充冲突标注",IF(S35&lt;&gt;"已确认","待复核","可冻结")))))))</x:f>
      </x:c>
    </x:row>
    <x:row r="36" ht="34" customHeight="1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41"/>
      <x:c r="V36" s="34"/>
      <x:c r="W36" s="35" t="str">
        <x:f>IF(A36="","",IF(E36="","缺少标准问题",IF(J36="","缺少预期状态",IF(AND(J36="ANSWER",K36=""),"缺少必答关键点",IF(AND(J36="INSUFFICIENT_EVIDENCE",O36=""),"缺少证据不足原因",IF(AND(J36="CONFLICT",OR(P36="",Q36&lt;2)),"补充冲突标注",IF(S36&lt;&gt;"已确认","待复核","可冻结")))))))</x:f>
      </x:c>
    </x:row>
    <x:row r="37" ht="34" customHeight="1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41"/>
      <x:c r="V37" s="34"/>
      <x:c r="W37" s="35" t="str">
        <x:f>IF(A37="","",IF(E37="","缺少标准问题",IF(J37="","缺少预期状态",IF(AND(J37="ANSWER",K37=""),"缺少必答关键点",IF(AND(J37="INSUFFICIENT_EVIDENCE",O37=""),"缺少证据不足原因",IF(AND(J37="CONFLICT",OR(P37="",Q37&lt;2)),"补充冲突标注",IF(S37&lt;&gt;"已确认","待复核","可冻结")))))))</x:f>
      </x:c>
    </x:row>
    <x:row r="38" ht="34" customHeight="1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41"/>
      <x:c r="V38" s="34"/>
      <x:c r="W38" s="35" t="str">
        <x:f>IF(A38="","",IF(E38="","缺少标准问题",IF(J38="","缺少预期状态",IF(AND(J38="ANSWER",K38=""),"缺少必答关键点",IF(AND(J38="INSUFFICIENT_EVIDENCE",O38=""),"缺少证据不足原因",IF(AND(J38="CONFLICT",OR(P38="",Q38&lt;2)),"补充冲突标注",IF(S38&lt;&gt;"已确认","待复核","可冻结")))))))</x:f>
      </x:c>
    </x:row>
    <x:row r="39" ht="34" customHeight="1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41"/>
      <x:c r="V39" s="34"/>
      <x:c r="W39" s="35" t="str">
        <x:f>IF(A39="","",IF(E39="","缺少标准问题",IF(J39="","缺少预期状态",IF(AND(J39="ANSWER",K39=""),"缺少必答关键点",IF(AND(J39="INSUFFICIENT_EVIDENCE",O39=""),"缺少证据不足原因",IF(AND(J39="CONFLICT",OR(P39="",Q39&lt;2)),"补充冲突标注",IF(S39&lt;&gt;"已确认","待复核","可冻结")))))))</x:f>
      </x:c>
    </x:row>
    <x:row r="40" ht="34" customHeight="1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41"/>
      <x:c r="V40" s="34"/>
      <x:c r="W40" s="35" t="str">
        <x:f>IF(A40="","",IF(E40="","缺少标准问题",IF(J40="","缺少预期状态",IF(AND(J40="ANSWER",K40=""),"缺少必答关键点",IF(AND(J40="INSUFFICIENT_EVIDENCE",O40=""),"缺少证据不足原因",IF(AND(J40="CONFLICT",OR(P40="",Q40&lt;2)),"补充冲突标注",IF(S40&lt;&gt;"已确认","待复核","可冻结")))))))</x:f>
      </x:c>
    </x:row>
    <x:row r="41" ht="34" customHeight="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41"/>
      <x:c r="V41" s="34"/>
      <x:c r="W41" s="35" t="str">
        <x:f>IF(A41="","",IF(E41="","缺少标准问题",IF(J41="","缺少预期状态",IF(AND(J41="ANSWER",K41=""),"缺少必答关键点",IF(AND(J41="INSUFFICIENT_EVIDENCE",O41=""),"缺少证据不足原因",IF(AND(J41="CONFLICT",OR(P41="",Q41&lt;2)),"补充冲突标注",IF(S41&lt;&gt;"已确认","待复核","可冻结")))))))</x:f>
      </x:c>
    </x:row>
    <x:row r="42" ht="34" customHeight="1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41"/>
      <x:c r="V42" s="34"/>
      <x:c r="W42" s="35" t="str">
        <x:f>IF(A42="","",IF(E42="","缺少标准问题",IF(J42="","缺少预期状态",IF(AND(J42="ANSWER",K42=""),"缺少必答关键点",IF(AND(J42="INSUFFICIENT_EVIDENCE",O42=""),"缺少证据不足原因",IF(AND(J42="CONFLICT",OR(P42="",Q42&lt;2)),"补充冲突标注",IF(S42&lt;&gt;"已确认","待复核","可冻结")))))))</x:f>
      </x:c>
    </x:row>
    <x:row r="43" ht="34" customHeight="1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41"/>
      <x:c r="V43" s="34"/>
      <x:c r="W43" s="35" t="str">
        <x:f>IF(A43="","",IF(E43="","缺少标准问题",IF(J43="","缺少预期状态",IF(AND(J43="ANSWER",K43=""),"缺少必答关键点",IF(AND(J43="INSUFFICIENT_EVIDENCE",O43=""),"缺少证据不足原因",IF(AND(J43="CONFLICT",OR(P43="",Q43&lt;2)),"补充冲突标注",IF(S43&lt;&gt;"已确认","待复核","可冻结")))))))</x:f>
      </x:c>
    </x:row>
    <x:row r="44" ht="34" customHeight="1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41"/>
      <x:c r="V44" s="34"/>
      <x:c r="W44" s="35" t="str">
        <x:f>IF(A44="","",IF(E44="","缺少标准问题",IF(J44="","缺少预期状态",IF(AND(J44="ANSWER",K44=""),"缺少必答关键点",IF(AND(J44="INSUFFICIENT_EVIDENCE",O44=""),"缺少证据不足原因",IF(AND(J44="CONFLICT",OR(P44="",Q44&lt;2)),"补充冲突标注",IF(S44&lt;&gt;"已确认","待复核","可冻结")))))))</x:f>
      </x:c>
    </x:row>
    <x:row r="45" ht="34" customHeight="1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41"/>
      <x:c r="V45" s="34"/>
      <x:c r="W45" s="35" t="str">
        <x:f>IF(A45="","",IF(E45="","缺少标准问题",IF(J45="","缺少预期状态",IF(AND(J45="ANSWER",K45=""),"缺少必答关键点",IF(AND(J45="INSUFFICIENT_EVIDENCE",O45=""),"缺少证据不足原因",IF(AND(J45="CONFLICT",OR(P45="",Q45&lt;2)),"补充冲突标注",IF(S45&lt;&gt;"已确认","待复核","可冻结")))))))</x:f>
      </x:c>
    </x:row>
    <x:row r="46" ht="34" customHeight="1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41"/>
      <x:c r="V46" s="34"/>
      <x:c r="W46" s="35" t="str">
        <x:f>IF(A46="","",IF(E46="","缺少标准问题",IF(J46="","缺少预期状态",IF(AND(J46="ANSWER",K46=""),"缺少必答关键点",IF(AND(J46="INSUFFICIENT_EVIDENCE",O46=""),"缺少证据不足原因",IF(AND(J46="CONFLICT",OR(P46="",Q46&lt;2)),"补充冲突标注",IF(S46&lt;&gt;"已确认","待复核","可冻结")))))))</x:f>
      </x:c>
    </x:row>
    <x:row r="47" ht="34" customHeight="1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41"/>
      <x:c r="V47" s="34"/>
      <x:c r="W47" s="35" t="str">
        <x:f>IF(A47="","",IF(E47="","缺少标准问题",IF(J47="","缺少预期状态",IF(AND(J47="ANSWER",K47=""),"缺少必答关键点",IF(AND(J47="INSUFFICIENT_EVIDENCE",O47=""),"缺少证据不足原因",IF(AND(J47="CONFLICT",OR(P47="",Q47&lt;2)),"补充冲突标注",IF(S47&lt;&gt;"已确认","待复核","可冻结")))))))</x:f>
      </x:c>
    </x:row>
    <x:row r="48" ht="34" customHeight="1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41"/>
      <x:c r="V48" s="34"/>
      <x:c r="W48" s="35" t="str">
        <x:f>IF(A48="","",IF(E48="","缺少标准问题",IF(J48="","缺少预期状态",IF(AND(J48="ANSWER",K48=""),"缺少必答关键点",IF(AND(J48="INSUFFICIENT_EVIDENCE",O48=""),"缺少证据不足原因",IF(AND(J48="CONFLICT",OR(P48="",Q48&lt;2)),"补充冲突标注",IF(S48&lt;&gt;"已确认","待复核","可冻结")))))))</x:f>
      </x:c>
    </x:row>
    <x:row r="49" ht="34" customHeight="1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41"/>
      <x:c r="V49" s="34"/>
      <x:c r="W49" s="35" t="str">
        <x:f>IF(A49="","",IF(E49="","缺少标准问题",IF(J49="","缺少预期状态",IF(AND(J49="ANSWER",K49=""),"缺少必答关键点",IF(AND(J49="INSUFFICIENT_EVIDENCE",O49=""),"缺少证据不足原因",IF(AND(J49="CONFLICT",OR(P49="",Q49&lt;2)),"补充冲突标注",IF(S49&lt;&gt;"已确认","待复核","可冻结")))))))</x:f>
      </x:c>
    </x:row>
    <x:row r="50" ht="34" customHeight="1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41"/>
      <x:c r="V50" s="34"/>
      <x:c r="W50" s="35" t="str">
        <x:f>IF(A50="","",IF(E50="","缺少标准问题",IF(J50="","缺少预期状态",IF(AND(J50="ANSWER",K50=""),"缺少必答关键点",IF(AND(J50="INSUFFICIENT_EVIDENCE",O50=""),"缺少证据不足原因",IF(AND(J50="CONFLICT",OR(P50="",Q50&lt;2)),"补充冲突标注",IF(S50&lt;&gt;"已确认","待复核","可冻结")))))))</x:f>
      </x:c>
    </x:row>
    <x:row r="51" ht="34" customHeight="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41"/>
      <x:c r="V51" s="34"/>
      <x:c r="W51" s="35" t="str">
        <x:f>IF(A51="","",IF(E51="","缺少标准问题",IF(J51="","缺少预期状态",IF(AND(J51="ANSWER",K51=""),"缺少必答关键点",IF(AND(J51="INSUFFICIENT_EVIDENCE",O51=""),"缺少证据不足原因",IF(AND(J51="CONFLICT",OR(P51="",Q51&lt;2)),"补充冲突标注",IF(S51&lt;&gt;"已确认","待复核","可冻结")))))))</x:f>
      </x:c>
    </x:row>
    <x:row r="52" ht="34" customHeight="1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41"/>
      <x:c r="V52" s="34"/>
      <x:c r="W52" s="35" t="str">
        <x:f>IF(A52="","",IF(E52="","缺少标准问题",IF(J52="","缺少预期状态",IF(AND(J52="ANSWER",K52=""),"缺少必答关键点",IF(AND(J52="INSUFFICIENT_EVIDENCE",O52=""),"缺少证据不足原因",IF(AND(J52="CONFLICT",OR(P52="",Q52&lt;2)),"补充冲突标注",IF(S52&lt;&gt;"已确认","待复核","可冻结")))))))</x:f>
      </x:c>
    </x:row>
    <x:row r="53" ht="34" customHeight="1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41"/>
      <x:c r="V53" s="34"/>
      <x:c r="W53" s="35" t="str">
        <x:f>IF(A53="","",IF(E53="","缺少标准问题",IF(J53="","缺少预期状态",IF(AND(J53="ANSWER",K53=""),"缺少必答关键点",IF(AND(J53="INSUFFICIENT_EVIDENCE",O53=""),"缺少证据不足原因",IF(AND(J53="CONFLICT",OR(P53="",Q53&lt;2)),"补充冲突标注",IF(S53&lt;&gt;"已确认","待复核","可冻结")))))))</x:f>
      </x:c>
    </x:row>
    <x:row r="54" ht="34" customHeight="1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41"/>
      <x:c r="V54" s="34"/>
      <x:c r="W54" s="35" t="str">
        <x:f>IF(A54="","",IF(E54="","缺少标准问题",IF(J54="","缺少预期状态",IF(AND(J54="ANSWER",K54=""),"缺少必答关键点",IF(AND(J54="INSUFFICIENT_EVIDENCE",O54=""),"缺少证据不足原因",IF(AND(J54="CONFLICT",OR(P54="",Q54&lt;2)),"补充冲突标注",IF(S54&lt;&gt;"已确认","待复核","可冻结")))))))</x:f>
      </x:c>
    </x:row>
    <x:row r="55" ht="34" customHeight="1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41"/>
      <x:c r="V55" s="34"/>
      <x:c r="W55" s="35" t="str">
        <x:f>IF(A55="","",IF(E55="","缺少标准问题",IF(J55="","缺少预期状态",IF(AND(J55="ANSWER",K55=""),"缺少必答关键点",IF(AND(J55="INSUFFICIENT_EVIDENCE",O55=""),"缺少证据不足原因",IF(AND(J55="CONFLICT",OR(P55="",Q55&lt;2)),"补充冲突标注",IF(S55&lt;&gt;"已确认","待复核","可冻结")))))))</x:f>
      </x:c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41"/>
      <x:c r="V56" s="34"/>
      <x:c r="W56" s="35" t="str">
        <x:f>IF(A56="","",IF(E56="","缺少标准问题",IF(J56="","缺少预期状态",IF(AND(J56="ANSWER",K56=""),"缺少必答关键点",IF(AND(J56="INSUFFICIENT_EVIDENCE",O56=""),"缺少证据不足原因",IF(AND(J56="CONFLICT",OR(P56="",Q56&lt;2)),"补充冲突标注",IF(S56&lt;&gt;"已确认","待复核","可冻结")))))))</x:f>
      </x:c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41"/>
      <x:c r="V57" s="34"/>
      <x:c r="W57" s="35" t="str">
        <x:f>IF(A57="","",IF(E57="","缺少标准问题",IF(J57="","缺少预期状态",IF(AND(J57="ANSWER",K57=""),"缺少必答关键点",IF(AND(J57="INSUFFICIENT_EVIDENCE",O57=""),"缺少证据不足原因",IF(AND(J57="CONFLICT",OR(P57="",Q57&lt;2)),"补充冲突标注",IF(S57&lt;&gt;"已确认","待复核","可冻结")))))))</x:f>
      </x:c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41"/>
      <x:c r="V58" s="34"/>
      <x:c r="W58" s="35" t="str">
        <x:f>IF(A58="","",IF(E58="","缺少标准问题",IF(J58="","缺少预期状态",IF(AND(J58="ANSWER",K58=""),"缺少必答关键点",IF(AND(J58="INSUFFICIENT_EVIDENCE",O58=""),"缺少证据不足原因",IF(AND(J58="CONFLICT",OR(P58="",Q58&lt;2)),"补充冲突标注",IF(S58&lt;&gt;"已确认","待复核","可冻结")))))))</x:f>
      </x:c>
    </x:row>
    <x:row r="59" ht="34" customHeight="1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41"/>
      <x:c r="V59" s="34"/>
      <x:c r="W59" s="35" t="str">
        <x:f>IF(A59="","",IF(E59="","缺少标准问题",IF(J59="","缺少预期状态",IF(AND(J59="ANSWER",K59=""),"缺少必答关键点",IF(AND(J59="INSUFFICIENT_EVIDENCE",O59=""),"缺少证据不足原因",IF(AND(J59="CONFLICT",OR(P59="",Q59&lt;2)),"补充冲突标注",IF(S59&lt;&gt;"已确认","待复核","可冻结")))))))</x:f>
      </x:c>
    </x:row>
    <x:row r="60" ht="34" customHeight="1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41"/>
      <x:c r="V60" s="34"/>
      <x:c r="W60" s="35" t="str">
        <x:f>IF(A60="","",IF(E60="","缺少标准问题",IF(J60="","缺少预期状态",IF(AND(J60="ANSWER",K60=""),"缺少必答关键点",IF(AND(J60="INSUFFICIENT_EVIDENCE",O60=""),"缺少证据不足原因",IF(AND(J60="CONFLICT",OR(P60="",Q60&lt;2)),"补充冲突标注",IF(S60&lt;&gt;"已确认","待复核","可冻结")))))))</x:f>
      </x:c>
    </x:row>
    <x:row r="61" ht="34" customHeight="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41"/>
      <x:c r="V61" s="34"/>
      <x:c r="W61" s="35" t="str">
        <x:f>IF(A61="","",IF(E61="","缺少标准问题",IF(J61="","缺少预期状态",IF(AND(J61="ANSWER",K61=""),"缺少必答关键点",IF(AND(J61="INSUFFICIENT_EVIDENCE",O61=""),"缺少证据不足原因",IF(AND(J61="CONFLICT",OR(P61="",Q61&lt;2)),"补充冲突标注",IF(S61&lt;&gt;"已确认","待复核","可冻结")))))))</x:f>
      </x:c>
    </x:row>
    <x:row r="62" ht="34" customHeight="1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41"/>
      <x:c r="V62" s="34"/>
      <x:c r="W62" s="35" t="str">
        <x:f>IF(A62="","",IF(E62="","缺少标准问题",IF(J62="","缺少预期状态",IF(AND(J62="ANSWER",K62=""),"缺少必答关键点",IF(AND(J62="INSUFFICIENT_EVIDENCE",O62=""),"缺少证据不足原因",IF(AND(J62="CONFLICT",OR(P62="",Q62&lt;2)),"补充冲突标注",IF(S62&lt;&gt;"已确认","待复核","可冻结")))))))</x:f>
      </x:c>
    </x:row>
    <x:row r="63" ht="34" customHeight="1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41"/>
      <x:c r="V63" s="34"/>
      <x:c r="W63" s="35" t="str">
        <x:f>IF(A63="","",IF(E63="","缺少标准问题",IF(J63="","缺少预期状态",IF(AND(J63="ANSWER",K63=""),"缺少必答关键点",IF(AND(J63="INSUFFICIENT_EVIDENCE",O63=""),"缺少证据不足原因",IF(AND(J63="CONFLICT",OR(P63="",Q63&lt;2)),"补充冲突标注",IF(S63&lt;&gt;"已确认","待复核","可冻结")))))))</x:f>
      </x:c>
    </x:row>
    <x:row r="64" ht="34" customHeight="1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41"/>
      <x:c r="V64" s="34"/>
      <x:c r="W64" s="35" t="str">
        <x:f>IF(A64="","",IF(E64="","缺少标准问题",IF(J64="","缺少预期状态",IF(AND(J64="ANSWER",K64=""),"缺少必答关键点",IF(AND(J64="INSUFFICIENT_EVIDENCE",O64=""),"缺少证据不足原因",IF(AND(J64="CONFLICT",OR(P64="",Q64&lt;2)),"补充冲突标注",IF(S64&lt;&gt;"已确认","待复核","可冻结")))))))</x:f>
      </x:c>
    </x:row>
    <x:row r="65" ht="34" customHeight="1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41"/>
      <x:c r="V65" s="34"/>
      <x:c r="W65" s="35" t="str">
        <x:f>IF(A65="","",IF(E65="","缺少标准问题",IF(J65="","缺少预期状态",IF(AND(J65="ANSWER",K65=""),"缺少必答关键点",IF(AND(J65="INSUFFICIENT_EVIDENCE",O65=""),"缺少证据不足原因",IF(AND(J65="CONFLICT",OR(P65="",Q65&lt;2)),"补充冲突标注",IF(S65&lt;&gt;"已确认","待复核","可冻结")))))))</x:f>
      </x:c>
    </x:row>
    <x:row r="66" ht="34" customHeight="1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41"/>
      <x:c r="V66" s="34"/>
      <x:c r="W66" s="35" t="str">
        <x:f>IF(A66="","",IF(E66="","缺少标准问题",IF(J66="","缺少预期状态",IF(AND(J66="ANSWER",K66=""),"缺少必答关键点",IF(AND(J66="INSUFFICIENT_EVIDENCE",O66=""),"缺少证据不足原因",IF(AND(J66="CONFLICT",OR(P66="",Q66&lt;2)),"补充冲突标注",IF(S66&lt;&gt;"已确认","待复核","可冻结")))))))</x:f>
      </x:c>
    </x:row>
    <x:row r="67" ht="34" customHeight="1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41"/>
      <x:c r="V67" s="34"/>
      <x:c r="W67" s="35" t="str">
        <x:f>IF(A67="","",IF(E67="","缺少标准问题",IF(J67="","缺少预期状态",IF(AND(J67="ANSWER",K67=""),"缺少必答关键点",IF(AND(J67="INSUFFICIENT_EVIDENCE",O67=""),"缺少证据不足原因",IF(AND(J67="CONFLICT",OR(P67="",Q67&lt;2)),"补充冲突标注",IF(S67&lt;&gt;"已确认","待复核","可冻结")))))))</x:f>
      </x:c>
    </x:row>
    <x:row r="68" ht="34" customHeight="1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41"/>
      <x:c r="V68" s="34"/>
      <x:c r="W68" s="35" t="str">
        <x:f>IF(A68="","",IF(E68="","缺少标准问题",IF(J68="","缺少预期状态",IF(AND(J68="ANSWER",K68=""),"缺少必答关键点",IF(AND(J68="INSUFFICIENT_EVIDENCE",O68=""),"缺少证据不足原因",IF(AND(J68="CONFLICT",OR(P68="",Q68&lt;2)),"补充冲突标注",IF(S68&lt;&gt;"已确认","待复核","可冻结")))))))</x:f>
      </x:c>
    </x:row>
    <x:row r="69" ht="34" customHeight="1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41"/>
      <x:c r="V69" s="34"/>
      <x:c r="W69" s="35" t="str">
        <x:f>IF(A69="","",IF(E69="","缺少标准问题",IF(J69="","缺少预期状态",IF(AND(J69="ANSWER",K69=""),"缺少必答关键点",IF(AND(J69="INSUFFICIENT_EVIDENCE",O69=""),"缺少证据不足原因",IF(AND(J69="CONFLICT",OR(P69="",Q69&lt;2)),"补充冲突标注",IF(S69&lt;&gt;"已确认","待复核","可冻结")))))))</x:f>
      </x:c>
    </x:row>
    <x:row r="70" ht="34" customHeight="1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41"/>
      <x:c r="V70" s="34"/>
      <x:c r="W70" s="35" t="str">
        <x:f>IF(A70="","",IF(E70="","缺少标准问题",IF(J70="","缺少预期状态",IF(AND(J70="ANSWER",K70=""),"缺少必答关键点",IF(AND(J70="INSUFFICIENT_EVIDENCE",O70=""),"缺少证据不足原因",IF(AND(J70="CONFLICT",OR(P70="",Q70&lt;2)),"补充冲突标注",IF(S70&lt;&gt;"已确认","待复核","可冻结")))))))</x:f>
      </x:c>
    </x:row>
    <x:row r="71" ht="34" customHeight="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41"/>
      <x:c r="V71" s="34"/>
      <x:c r="W71" s="35" t="str">
        <x:f>IF(A71="","",IF(E71="","缺少标准问题",IF(J71="","缺少预期状态",IF(AND(J71="ANSWER",K71=""),"缺少必答关键点",IF(AND(J71="INSUFFICIENT_EVIDENCE",O71=""),"缺少证据不足原因",IF(AND(J71="CONFLICT",OR(P71="",Q71&lt;2)),"补充冲突标注",IF(S71&lt;&gt;"已确认","待复核","可冻结")))))))</x:f>
      </x:c>
    </x:row>
    <x:row r="72" ht="34" customHeight="1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41"/>
      <x:c r="V72" s="34"/>
      <x:c r="W72" s="35" t="str">
        <x:f>IF(A72="","",IF(E72="","缺少标准问题",IF(J72="","缺少预期状态",IF(AND(J72="ANSWER",K72=""),"缺少必答关键点",IF(AND(J72="INSUFFICIENT_EVIDENCE",O72=""),"缺少证据不足原因",IF(AND(J72="CONFLICT",OR(P72="",Q72&lt;2)),"补充冲突标注",IF(S72&lt;&gt;"已确认","待复核","可冻结")))))))</x:f>
      </x:c>
    </x:row>
    <x:row r="73" ht="34" customHeight="1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41"/>
      <x:c r="V73" s="34"/>
      <x:c r="W73" s="35" t="str">
        <x:f>IF(A73="","",IF(E73="","缺少标准问题",IF(J73="","缺少预期状态",IF(AND(J73="ANSWER",K73=""),"缺少必答关键点",IF(AND(J73="INSUFFICIENT_EVIDENCE",O73=""),"缺少证据不足原因",IF(AND(J73="CONFLICT",OR(P73="",Q73&lt;2)),"补充冲突标注",IF(S73&lt;&gt;"已确认","待复核","可冻结")))))))</x:f>
      </x:c>
    </x:row>
    <x:row r="74" ht="34" customHeight="1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41"/>
      <x:c r="V74" s="34"/>
      <x:c r="W74" s="35" t="str">
        <x:f>IF(A74="","",IF(E74="","缺少标准问题",IF(J74="","缺少预期状态",IF(AND(J74="ANSWER",K74=""),"缺少必答关键点",IF(AND(J74="INSUFFICIENT_EVIDENCE",O74=""),"缺少证据不足原因",IF(AND(J74="CONFLICT",OR(P74="",Q74&lt;2)),"补充冲突标注",IF(S74&lt;&gt;"已确认","待复核","可冻结")))))))</x:f>
      </x:c>
    </x:row>
    <x:row r="75" ht="34" customHeight="1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41"/>
      <x:c r="V75" s="34"/>
      <x:c r="W75" s="35" t="str">
        <x:f>IF(A75="","",IF(E75="","缺少标准问题",IF(J75="","缺少预期状态",IF(AND(J75="ANSWER",K75=""),"缺少必答关键点",IF(AND(J75="INSUFFICIENT_EVIDENCE",O75=""),"缺少证据不足原因",IF(AND(J75="CONFLICT",OR(P75="",Q75&lt;2)),"补充冲突标注",IF(S75&lt;&gt;"已确认","待复核","可冻结")))))))</x:f>
      </x:c>
    </x:row>
    <x:row r="76" ht="34" customHeight="1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41"/>
      <x:c r="V76" s="34"/>
      <x:c r="W76" s="35" t="str">
        <x:f>IF(A76="","",IF(E76="","缺少标准问题",IF(J76="","缺少预期状态",IF(AND(J76="ANSWER",K76=""),"缺少必答关键点",IF(AND(J76="INSUFFICIENT_EVIDENCE",O76=""),"缺少证据不足原因",IF(AND(J76="CONFLICT",OR(P76="",Q76&lt;2)),"补充冲突标注",IF(S76&lt;&gt;"已确认","待复核","可冻结")))))))</x:f>
      </x:c>
    </x:row>
    <x:row r="77" ht="34" customHeight="1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41"/>
      <x:c r="V77" s="34"/>
      <x:c r="W77" s="35" t="str">
        <x:f>IF(A77="","",IF(E77="","缺少标准问题",IF(J77="","缺少预期状态",IF(AND(J77="ANSWER",K77=""),"缺少必答关键点",IF(AND(J77="INSUFFICIENT_EVIDENCE",O77=""),"缺少证据不足原因",IF(AND(J77="CONFLICT",OR(P77="",Q77&lt;2)),"补充冲突标注",IF(S77&lt;&gt;"已确认","待复核","可冻结")))))))</x:f>
      </x:c>
    </x:row>
    <x:row r="78" ht="34" customHeight="1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41"/>
      <x:c r="V78" s="34"/>
      <x:c r="W78" s="35" t="str">
        <x:f>IF(A78="","",IF(E78="","缺少标准问题",IF(J78="","缺少预期状态",IF(AND(J78="ANSWER",K78=""),"缺少必答关键点",IF(AND(J78="INSUFFICIENT_EVIDENCE",O78=""),"缺少证据不足原因",IF(AND(J78="CONFLICT",OR(P78="",Q78&lt;2)),"补充冲突标注",IF(S78&lt;&gt;"已确认","待复核","可冻结")))))))</x:f>
      </x:c>
    </x:row>
    <x:row r="79" ht="34" customHeight="1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41"/>
      <x:c r="V79" s="34"/>
      <x:c r="W79" s="35" t="str">
        <x:f>IF(A79="","",IF(E79="","缺少标准问题",IF(J79="","缺少预期状态",IF(AND(J79="ANSWER",K79=""),"缺少必答关键点",IF(AND(J79="INSUFFICIENT_EVIDENCE",O79=""),"缺少证据不足原因",IF(AND(J79="CONFLICT",OR(P79="",Q79&lt;2)),"补充冲突标注",IF(S79&lt;&gt;"已确认","待复核","可冻结")))))))</x:f>
      </x:c>
    </x:row>
    <x:row r="80" ht="34" customHeight="1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41"/>
      <x:c r="V80" s="34"/>
      <x:c r="W80" s="35" t="str">
        <x:f>IF(A80="","",IF(E80="","缺少标准问题",IF(J80="","缺少预期状态",IF(AND(J80="ANSWER",K80=""),"缺少必答关键点",IF(AND(J80="INSUFFICIENT_EVIDENCE",O80=""),"缺少证据不足原因",IF(AND(J80="CONFLICT",OR(P80="",Q80&lt;2)),"补充冲突标注",IF(S80&lt;&gt;"已确认","待复核","可冻结")))))))</x:f>
      </x:c>
    </x:row>
    <x:row r="81" ht="34" customHeight="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41"/>
      <x:c r="V81" s="34"/>
      <x:c r="W81" s="35" t="str">
        <x:f>IF(A81="","",IF(E81="","缺少标准问题",IF(J81="","缺少预期状态",IF(AND(J81="ANSWER",K81=""),"缺少必答关键点",IF(AND(J81="INSUFFICIENT_EVIDENCE",O81=""),"缺少证据不足原因",IF(AND(J81="CONFLICT",OR(P81="",Q81&lt;2)),"补充冲突标注",IF(S81&lt;&gt;"已确认","待复核","可冻结")))))))</x:f>
      </x:c>
    </x:row>
    <x:row r="82" ht="34" customHeight="1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41"/>
      <x:c r="V82" s="34"/>
      <x:c r="W82" s="35" t="str">
        <x:f>IF(A82="","",IF(E82="","缺少标准问题",IF(J82="","缺少预期状态",IF(AND(J82="ANSWER",K82=""),"缺少必答关键点",IF(AND(J82="INSUFFICIENT_EVIDENCE",O82=""),"缺少证据不足原因",IF(AND(J82="CONFLICT",OR(P82="",Q82&lt;2)),"补充冲突标注",IF(S82&lt;&gt;"已确认","待复核","可冻结")))))))</x:f>
      </x:c>
    </x:row>
    <x:row r="83" ht="34" customHeight="1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41"/>
      <x:c r="V83" s="34"/>
      <x:c r="W83" s="35" t="str">
        <x:f>IF(A83="","",IF(E83="","缺少标准问题",IF(J83="","缺少预期状态",IF(AND(J83="ANSWER",K83=""),"缺少必答关键点",IF(AND(J83="INSUFFICIENT_EVIDENCE",O83=""),"缺少证据不足原因",IF(AND(J83="CONFLICT",OR(P83="",Q83&lt;2)),"补充冲突标注",IF(S83&lt;&gt;"已确认","待复核","可冻结")))))))</x:f>
      </x:c>
    </x:row>
    <x:row r="84" ht="34" customHeight="1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41"/>
      <x:c r="V84" s="34"/>
      <x:c r="W84" s="35" t="str">
        <x:f>IF(A84="","",IF(E84="","缺少标准问题",IF(J84="","缺少预期状态",IF(AND(J84="ANSWER",K84=""),"缺少必答关键点",IF(AND(J84="INSUFFICIENT_EVIDENCE",O84=""),"缺少证据不足原因",IF(AND(J84="CONFLICT",OR(P84="",Q84&lt;2)),"补充冲突标注",IF(S84&lt;&gt;"已确认","待复核","可冻结")))))))</x:f>
      </x:c>
    </x:row>
    <x:row r="85" ht="34" customHeight="1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41"/>
      <x:c r="V85" s="34"/>
      <x:c r="W85" s="35" t="str">
        <x:f>IF(A85="","",IF(E85="","缺少标准问题",IF(J85="","缺少预期状态",IF(AND(J85="ANSWER",K85=""),"缺少必答关键点",IF(AND(J85="INSUFFICIENT_EVIDENCE",O85=""),"缺少证据不足原因",IF(AND(J85="CONFLICT",OR(P85="",Q85&lt;2)),"补充冲突标注",IF(S85&lt;&gt;"已确认","待复核","可冻结")))))))</x:f>
      </x:c>
    </x:row>
    <x:row r="86" ht="34" customHeight="1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41"/>
      <x:c r="V86" s="34"/>
      <x:c r="W86" s="35" t="str">
        <x:f>IF(A86="","",IF(E86="","缺少标准问题",IF(J86="","缺少预期状态",IF(AND(J86="ANSWER",K86=""),"缺少必答关键点",IF(AND(J86="INSUFFICIENT_EVIDENCE",O86=""),"缺少证据不足原因",IF(AND(J86="CONFLICT",OR(P86="",Q86&lt;2)),"补充冲突标注",IF(S86&lt;&gt;"已确认","待复核","可冻结")))))))</x:f>
      </x:c>
    </x:row>
    <x:row r="87" ht="34" customHeight="1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41"/>
      <x:c r="V87" s="34"/>
      <x:c r="W87" s="35" t="str">
        <x:f>IF(A87="","",IF(E87="","缺少标准问题",IF(J87="","缺少预期状态",IF(AND(J87="ANSWER",K87=""),"缺少必答关键点",IF(AND(J87="INSUFFICIENT_EVIDENCE",O87=""),"缺少证据不足原因",IF(AND(J87="CONFLICT",OR(P87="",Q87&lt;2)),"补充冲突标注",IF(S87&lt;&gt;"已确认","待复核","可冻结")))))))</x:f>
      </x:c>
    </x:row>
    <x:row r="88" ht="34" customHeight="1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41"/>
      <x:c r="V88" s="34"/>
      <x:c r="W88" s="35" t="str">
        <x:f>IF(A88="","",IF(E88="","缺少标准问题",IF(J88="","缺少预期状态",IF(AND(J88="ANSWER",K88=""),"缺少必答关键点",IF(AND(J88="INSUFFICIENT_EVIDENCE",O88=""),"缺少证据不足原因",IF(AND(J88="CONFLICT",OR(P88="",Q88&lt;2)),"补充冲突标注",IF(S88&lt;&gt;"已确认","待复核","可冻结")))))))</x:f>
      </x:c>
    </x:row>
    <x:row r="89" ht="34" customHeight="1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41"/>
      <x:c r="V89" s="34"/>
      <x:c r="W89" s="35" t="str">
        <x:f>IF(A89="","",IF(E89="","缺少标准问题",IF(J89="","缺少预期状态",IF(AND(J89="ANSWER",K89=""),"缺少必答关键点",IF(AND(J89="INSUFFICIENT_EVIDENCE",O89=""),"缺少证据不足原因",IF(AND(J89="CONFLICT",OR(P89="",Q89&lt;2)),"补充冲突标注",IF(S89&lt;&gt;"已确认","待复核","可冻结")))))))</x:f>
      </x:c>
    </x:row>
    <x:row r="90" ht="34" customHeight="1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41"/>
      <x:c r="V90" s="34"/>
      <x:c r="W90" s="35" t="str">
        <x:f>IF(A90="","",IF(E90="","缺少标准问题",IF(J90="","缺少预期状态",IF(AND(J90="ANSWER",K90=""),"缺少必答关键点",IF(AND(J90="INSUFFICIENT_EVIDENCE",O90=""),"缺少证据不足原因",IF(AND(J90="CONFLICT",OR(P90="",Q90&lt;2)),"补充冲突标注",IF(S90&lt;&gt;"已确认","待复核","可冻结")))))))</x:f>
      </x:c>
    </x:row>
    <x:row r="91" ht="34" customHeight="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41"/>
      <x:c r="V91" s="34"/>
      <x:c r="W91" s="35" t="str">
        <x:f>IF(A91="","",IF(E91="","缺少标准问题",IF(J91="","缺少预期状态",IF(AND(J91="ANSWER",K91=""),"缺少必答关键点",IF(AND(J91="INSUFFICIENT_EVIDENCE",O91=""),"缺少证据不足原因",IF(AND(J91="CONFLICT",OR(P91="",Q91&lt;2)),"补充冲突标注",IF(S91&lt;&gt;"已确认","待复核","可冻结")))))))</x:f>
      </x:c>
    </x:row>
    <x:row r="92" ht="34" customHeight="1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41"/>
      <x:c r="V92" s="34"/>
      <x:c r="W92" s="35" t="str">
        <x:f>IF(A92="","",IF(E92="","缺少标准问题",IF(J92="","缺少预期状态",IF(AND(J92="ANSWER",K92=""),"缺少必答关键点",IF(AND(J92="INSUFFICIENT_EVIDENCE",O92=""),"缺少证据不足原因",IF(AND(J92="CONFLICT",OR(P92="",Q92&lt;2)),"补充冲突标注",IF(S92&lt;&gt;"已确认","待复核","可冻结")))))))</x:f>
      </x:c>
    </x:row>
    <x:row r="93" ht="34" customHeight="1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41"/>
      <x:c r="V93" s="34"/>
      <x:c r="W93" s="35" t="str">
        <x:f>IF(A93="","",IF(E93="","缺少标准问题",IF(J93="","缺少预期状态",IF(AND(J93="ANSWER",K93=""),"缺少必答关键点",IF(AND(J93="INSUFFICIENT_EVIDENCE",O93=""),"缺少证据不足原因",IF(AND(J93="CONFLICT",OR(P93="",Q93&lt;2)),"补充冲突标注",IF(S93&lt;&gt;"已确认","待复核","可冻结")))))))</x:f>
      </x:c>
    </x:row>
    <x:row r="94" ht="34" customHeight="1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41"/>
      <x:c r="V94" s="34"/>
      <x:c r="W94" s="35" t="str">
        <x:f>IF(A94="","",IF(E94="","缺少标准问题",IF(J94="","缺少预期状态",IF(AND(J94="ANSWER",K94=""),"缺少必答关键点",IF(AND(J94="INSUFFICIENT_EVIDENCE",O94=""),"缺少证据不足原因",IF(AND(J94="CONFLICT",OR(P94="",Q94&lt;2)),"补充冲突标注",IF(S94&lt;&gt;"已确认","待复核","可冻结")))))))</x:f>
      </x:c>
    </x:row>
    <x:row r="95" ht="34" customHeight="1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41"/>
      <x:c r="V95" s="34"/>
      <x:c r="W95" s="35" t="str">
        <x:f>IF(A95="","",IF(E95="","缺少标准问题",IF(J95="","缺少预期状态",IF(AND(J95="ANSWER",K95=""),"缺少必答关键点",IF(AND(J95="INSUFFICIENT_EVIDENCE",O95=""),"缺少证据不足原因",IF(AND(J95="CONFLICT",OR(P95="",Q95&lt;2)),"补充冲突标注",IF(S95&lt;&gt;"已确认","待复核","可冻结")))))))</x:f>
      </x:c>
    </x:row>
    <x:row r="96" ht="34" customHeight="1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41"/>
      <x:c r="V96" s="34"/>
      <x:c r="W96" s="35" t="str">
        <x:f>IF(A96="","",IF(E96="","缺少标准问题",IF(J96="","缺少预期状态",IF(AND(J96="ANSWER",K96=""),"缺少必答关键点",IF(AND(J96="INSUFFICIENT_EVIDENCE",O96=""),"缺少证据不足原因",IF(AND(J96="CONFLICT",OR(P96="",Q96&lt;2)),"补充冲突标注",IF(S96&lt;&gt;"已确认","待复核","可冻结")))))))</x:f>
      </x:c>
    </x:row>
    <x:row r="97" ht="34" customHeight="1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41"/>
      <x:c r="V97" s="34"/>
      <x:c r="W97" s="35" t="str">
        <x:f>IF(A97="","",IF(E97="","缺少标准问题",IF(J97="","缺少预期状态",IF(AND(J97="ANSWER",K97=""),"缺少必答关键点",IF(AND(J97="INSUFFICIENT_EVIDENCE",O97=""),"缺少证据不足原因",IF(AND(J97="CONFLICT",OR(P97="",Q97&lt;2)),"补充冲突标注",IF(S97&lt;&gt;"已确认","待复核","可冻结")))))))</x:f>
      </x:c>
    </x:row>
    <x:row r="98" ht="34" customHeight="1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41"/>
      <x:c r="V98" s="34"/>
      <x:c r="W98" s="35" t="str">
        <x:f>IF(A98="","",IF(E98="","缺少标准问题",IF(J98="","缺少预期状态",IF(AND(J98="ANSWER",K98=""),"缺少必答关键点",IF(AND(J98="INSUFFICIENT_EVIDENCE",O98=""),"缺少证据不足原因",IF(AND(J98="CONFLICT",OR(P98="",Q98&lt;2)),"补充冲突标注",IF(S98&lt;&gt;"已确认","待复核","可冻结")))))))</x:f>
      </x:c>
    </x:row>
    <x:row r="99" ht="34" customHeight="1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41"/>
      <x:c r="V99" s="34"/>
      <x:c r="W99" s="35" t="str">
        <x:f>IF(A99="","",IF(E99="","缺少标准问题",IF(J99="","缺少预期状态",IF(AND(J99="ANSWER",K99=""),"缺少必答关键点",IF(AND(J99="INSUFFICIENT_EVIDENCE",O99=""),"缺少证据不足原因",IF(AND(J99="CONFLICT",OR(P99="",Q99&lt;2)),"补充冲突标注",IF(S99&lt;&gt;"已确认","待复核","可冻结")))))))</x:f>
      </x:c>
    </x:row>
    <x:row r="100" ht="34" customHeight="1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41"/>
      <x:c r="V100" s="34"/>
      <x:c r="W100" s="35" t="str">
        <x:f>IF(A100="","",IF(E100="","缺少标准问题",IF(J100="","缺少预期状态",IF(AND(J100="ANSWER",K100=""),"缺少必答关键点",IF(AND(J100="INSUFFICIENT_EVIDENCE",O100=""),"缺少证据不足原因",IF(AND(J100="CONFLICT",OR(P100="",Q100&lt;2)),"补充冲突标注",IF(S100&lt;&gt;"已确认","待复核","可冻结")))))))</x:f>
      </x:c>
    </x:row>
    <x:row r="101" ht="34" customHeight="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41"/>
      <x:c r="V101" s="34"/>
      <x:c r="W101" s="35" t="str">
        <x:f>IF(A101="","",IF(E101="","缺少标准问题",IF(J101="","缺少预期状态",IF(AND(J101="ANSWER",K101=""),"缺少必答关键点",IF(AND(J101="INSUFFICIENT_EVIDENCE",O101=""),"缺少证据不足原因",IF(AND(J101="CONFLICT",OR(P101="",Q101&lt;2)),"补充冲突标注",IF(S101&lt;&gt;"已确认","待复核","可冻结")))))))</x:f>
      </x:c>
    </x:row>
    <x:row r="102" ht="34" customHeight="1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41"/>
      <x:c r="V102" s="34"/>
      <x:c r="W102" s="35" t="str">
        <x:f>IF(A102="","",IF(E102="","缺少标准问题",IF(J102="","缺少预期状态",IF(AND(J102="ANSWER",K102=""),"缺少必答关键点",IF(AND(J102="INSUFFICIENT_EVIDENCE",O102=""),"缺少证据不足原因",IF(AND(J102="CONFLICT",OR(P102="",Q102&lt;2)),"补充冲突标注",IF(S102&lt;&gt;"已确认","待复核","可冻结")))))))</x:f>
      </x:c>
    </x:row>
    <x:row r="103" ht="34" customHeight="1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41"/>
      <x:c r="V103" s="34"/>
      <x:c r="W103" s="35" t="str">
        <x:f>IF(A103="","",IF(E103="","缺少标准问题",IF(J103="","缺少预期状态",IF(AND(J103="ANSWER",K103=""),"缺少必答关键点",IF(AND(J103="INSUFFICIENT_EVIDENCE",O103=""),"缺少证据不足原因",IF(AND(J103="CONFLICT",OR(P103="",Q103&lt;2)),"补充冲突标注",IF(S103&lt;&gt;"已确认","待复核","可冻结")))))))</x:f>
      </x:c>
    </x:row>
    <x:row r="104" ht="34" customHeight="1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41"/>
      <x:c r="V104" s="34"/>
      <x:c r="W104" s="35" t="str">
        <x:f>IF(A104="","",IF(E104="","缺少标准问题",IF(J104="","缺少预期状态",IF(AND(J104="ANSWER",K104=""),"缺少必答关键点",IF(AND(J104="INSUFFICIENT_EVIDENCE",O104=""),"缺少证据不足原因",IF(AND(J104="CONFLICT",OR(P104="",Q104&lt;2)),"补充冲突标注",IF(S104&lt;&gt;"已确认","待复核","可冻结")))))))</x:f>
      </x:c>
    </x:row>
    <x:row r="105" ht="34" customHeight="1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41"/>
      <x:c r="V105" s="34"/>
      <x:c r="W105" s="35" t="str">
        <x:f>IF(A105="","",IF(E105="","缺少标准问题",IF(J105="","缺少预期状态",IF(AND(J105="ANSWER",K105=""),"缺少必答关键点",IF(AND(J105="INSUFFICIENT_EVIDENCE",O105=""),"缺少证据不足原因",IF(AND(J105="CONFLICT",OR(P105="",Q105&lt;2)),"补充冲突标注",IF(S105&lt;&gt;"已确认","待复核","可冻结")))))))</x:f>
      </x:c>
    </x:row>
    <x:row r="106" ht="34" customHeight="1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41"/>
      <x:c r="V106" s="34"/>
      <x:c r="W106" s="35" t="str">
        <x:f>IF(A106="","",IF(E106="","缺少标准问题",IF(J106="","缺少预期状态",IF(AND(J106="ANSWER",K106=""),"缺少必答关键点",IF(AND(J106="INSUFFICIENT_EVIDENCE",O106=""),"缺少证据不足原因",IF(AND(J106="CONFLICT",OR(P106="",Q106&lt;2)),"补充冲突标注",IF(S106&lt;&gt;"已确认","待复核","可冻结")))))))</x:f>
      </x:c>
    </x:row>
    <x:row r="107" ht="34" customHeight="1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41"/>
      <x:c r="V107" s="34"/>
      <x:c r="W107" s="35" t="str">
        <x:f>IF(A107="","",IF(E107="","缺少标准问题",IF(J107="","缺少预期状态",IF(AND(J107="ANSWER",K107=""),"缺少必答关键点",IF(AND(J107="INSUFFICIENT_EVIDENCE",O107=""),"缺少证据不足原因",IF(AND(J107="CONFLICT",OR(P107="",Q107&lt;2)),"补充冲突标注",IF(S107&lt;&gt;"已确认","待复核","可冻结")))))))</x:f>
      </x:c>
    </x:row>
    <x:row r="108" ht="34" customHeight="1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41"/>
      <x:c r="V108" s="34"/>
      <x:c r="W108" s="35" t="str">
        <x:f>IF(A108="","",IF(E108="","缺少标准问题",IF(J108="","缺少预期状态",IF(AND(J108="ANSWER",K108=""),"缺少必答关键点",IF(AND(J108="INSUFFICIENT_EVIDENCE",O108=""),"缺少证据不足原因",IF(AND(J108="CONFLICT",OR(P108="",Q108&lt;2)),"补充冲突标注",IF(S108&lt;&gt;"已确认","待复核","可冻结")))))))</x:f>
      </x:c>
    </x:row>
    <x:row r="109" ht="34" customHeight="1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41"/>
      <x:c r="V109" s="34"/>
      <x:c r="W109" s="35" t="str">
        <x:f>IF(A109="","",IF(E109="","缺少标准问题",IF(J109="","缺少预期状态",IF(AND(J109="ANSWER",K109=""),"缺少必答关键点",IF(AND(J109="INSUFFICIENT_EVIDENCE",O109=""),"缺少证据不足原因",IF(AND(J109="CONFLICT",OR(P109="",Q109&lt;2)),"补充冲突标注",IF(S109&lt;&gt;"已确认","待复核","可冻结")))))))</x:f>
      </x:c>
    </x:row>
    <x:row r="110" ht="34" customHeight="1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41"/>
      <x:c r="V110" s="34"/>
      <x:c r="W110" s="35" t="str">
        <x:f>IF(A110="","",IF(E110="","缺少标准问题",IF(J110="","缺少预期状态",IF(AND(J110="ANSWER",K110=""),"缺少必答关键点",IF(AND(J110="INSUFFICIENT_EVIDENCE",O110=""),"缺少证据不足原因",IF(AND(J110="CONFLICT",OR(P110="",Q110&lt;2)),"补充冲突标注",IF(S110&lt;&gt;"已确认","待复核","可冻结")))))))</x:f>
      </x:c>
    </x:row>
    <x:row r="111" ht="34" customHeight="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41"/>
      <x:c r="V111" s="34"/>
      <x:c r="W111" s="35" t="str">
        <x:f>IF(A111="","",IF(E111="","缺少标准问题",IF(J111="","缺少预期状态",IF(AND(J111="ANSWER",K111=""),"缺少必答关键点",IF(AND(J111="INSUFFICIENT_EVIDENCE",O111=""),"缺少证据不足原因",IF(AND(J111="CONFLICT",OR(P111="",Q111&lt;2)),"补充冲突标注",IF(S111&lt;&gt;"已确认","待复核","可冻结")))))))</x:f>
      </x:c>
    </x:row>
    <x:row r="112" ht="34" customHeight="1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41"/>
      <x:c r="V112" s="34"/>
      <x:c r="W112" s="35" t="str">
        <x:f>IF(A112="","",IF(E112="","缺少标准问题",IF(J112="","缺少预期状态",IF(AND(J112="ANSWER",K112=""),"缺少必答关键点",IF(AND(J112="INSUFFICIENT_EVIDENCE",O112=""),"缺少证据不足原因",IF(AND(J112="CONFLICT",OR(P112="",Q112&lt;2)),"补充冲突标注",IF(S112&lt;&gt;"已确认","待复核","可冻结")))))))</x:f>
      </x:c>
    </x:row>
    <x:row r="113" ht="34" customHeight="1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41"/>
      <x:c r="V113" s="34"/>
      <x:c r="W113" s="35" t="str">
        <x:f>IF(A113="","",IF(E113="","缺少标准问题",IF(J113="","缺少预期状态",IF(AND(J113="ANSWER",K113=""),"缺少必答关键点",IF(AND(J113="INSUFFICIENT_EVIDENCE",O113=""),"缺少证据不足原因",IF(AND(J113="CONFLICT",OR(P113="",Q113&lt;2)),"补充冲突标注",IF(S113&lt;&gt;"已确认","待复核","可冻结")))))))</x:f>
      </x:c>
    </x:row>
    <x:row r="114" ht="34" customHeight="1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41"/>
      <x:c r="V114" s="34"/>
      <x:c r="W114" s="35" t="str">
        <x:f>IF(A114="","",IF(E114="","缺少标准问题",IF(J114="","缺少预期状态",IF(AND(J114="ANSWER",K114=""),"缺少必答关键点",IF(AND(J114="INSUFFICIENT_EVIDENCE",O114=""),"缺少证据不足原因",IF(AND(J114="CONFLICT",OR(P114="",Q114&lt;2)),"补充冲突标注",IF(S114&lt;&gt;"已确认","待复核","可冻结")))))))</x:f>
      </x:c>
    </x:row>
    <x:row r="115" ht="34" customHeight="1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41"/>
      <x:c r="V115" s="34"/>
      <x:c r="W115" s="35" t="str">
        <x:f>IF(A115="","",IF(E115="","缺少标准问题",IF(J115="","缺少预期状态",IF(AND(J115="ANSWER",K115=""),"缺少必答关键点",IF(AND(J115="INSUFFICIENT_EVIDENCE",O115=""),"缺少证据不足原因",IF(AND(J115="CONFLICT",OR(P115="",Q115&lt;2)),"补充冲突标注",IF(S115&lt;&gt;"已确认","待复核","可冻结")))))))</x:f>
      </x:c>
    </x:row>
    <x:row r="116" ht="34" customHeight="1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41"/>
      <x:c r="V116" s="34"/>
      <x:c r="W116" s="35" t="str">
        <x:f>IF(A116="","",IF(E116="","缺少标准问题",IF(J116="","缺少预期状态",IF(AND(J116="ANSWER",K116=""),"缺少必答关键点",IF(AND(J116="INSUFFICIENT_EVIDENCE",O116=""),"缺少证据不足原因",IF(AND(J116="CONFLICT",OR(P116="",Q116&lt;2)),"补充冲突标注",IF(S116&lt;&gt;"已确认","待复核","可冻结")))))))</x:f>
      </x:c>
    </x:row>
    <x:row r="117" ht="34" customHeight="1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41"/>
      <x:c r="V117" s="34"/>
      <x:c r="W117" s="35" t="str">
        <x:f>IF(A117="","",IF(E117="","缺少标准问题",IF(J117="","缺少预期状态",IF(AND(J117="ANSWER",K117=""),"缺少必答关键点",IF(AND(J117="INSUFFICIENT_EVIDENCE",O117=""),"缺少证据不足原因",IF(AND(J117="CONFLICT",OR(P117="",Q117&lt;2)),"补充冲突标注",IF(S117&lt;&gt;"已确认","待复核","可冻结")))))))</x:f>
      </x:c>
    </x:row>
    <x:row r="118" ht="34" customHeight="1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41"/>
      <x:c r="V118" s="34"/>
      <x:c r="W118" s="35" t="str">
        <x:f>IF(A118="","",IF(E118="","缺少标准问题",IF(J118="","缺少预期状态",IF(AND(J118="ANSWER",K118=""),"缺少必答关键点",IF(AND(J118="INSUFFICIENT_EVIDENCE",O118=""),"缺少证据不足原因",IF(AND(J118="CONFLICT",OR(P118="",Q118&lt;2)),"补充冲突标注",IF(S118&lt;&gt;"已确认","待复核","可冻结")))))))</x:f>
      </x:c>
    </x:row>
    <x:row r="119" ht="34" customHeight="1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41"/>
      <x:c r="V119" s="34"/>
      <x:c r="W119" s="35" t="str">
        <x:f>IF(A119="","",IF(E119="","缺少标准问题",IF(J119="","缺少预期状态",IF(AND(J119="ANSWER",K119=""),"缺少必答关键点",IF(AND(J119="INSUFFICIENT_EVIDENCE",O119=""),"缺少证据不足原因",IF(AND(J119="CONFLICT",OR(P119="",Q119&lt;2)),"补充冲突标注",IF(S119&lt;&gt;"已确认","待复核","可冻结")))))))</x:f>
      </x:c>
    </x:row>
    <x:row r="120" ht="34" customHeight="1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41"/>
      <x:c r="V120" s="34"/>
      <x:c r="W120" s="35" t="str">
        <x:f>IF(A120="","",IF(E120="","缺少标准问题",IF(J120="","缺少预期状态",IF(AND(J120="ANSWER",K120=""),"缺少必答关键点",IF(AND(J120="INSUFFICIENT_EVIDENCE",O120=""),"缺少证据不足原因",IF(AND(J120="CONFLICT",OR(P120="",Q120&lt;2)),"补充冲突标注",IF(S120&lt;&gt;"已确认","待复核","可冻结")))))))</x:f>
      </x:c>
    </x:row>
    <x:row r="121" ht="34" customHeight="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41"/>
      <x:c r="V121" s="34"/>
      <x:c r="W121" s="35" t="str">
        <x:f>IF(A121="","",IF(E121="","缺少标准问题",IF(J121="","缺少预期状态",IF(AND(J121="ANSWER",K121=""),"缺少必答关键点",IF(AND(J121="INSUFFICIENT_EVIDENCE",O121=""),"缺少证据不足原因",IF(AND(J121="CONFLICT",OR(P121="",Q121&lt;2)),"补充冲突标注",IF(S121&lt;&gt;"已确认","待复核","可冻结")))))))</x:f>
      </x:c>
    </x:row>
    <x:row r="122" ht="34" customHeight="1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41"/>
      <x:c r="V122" s="34"/>
      <x:c r="W122" s="35" t="str">
        <x:f>IF(A122="","",IF(E122="","缺少标准问题",IF(J122="","缺少预期状态",IF(AND(J122="ANSWER",K122=""),"缺少必答关键点",IF(AND(J122="INSUFFICIENT_EVIDENCE",O122=""),"缺少证据不足原因",IF(AND(J122="CONFLICT",OR(P122="",Q122&lt;2)),"补充冲突标注",IF(S122&lt;&gt;"已确认","待复核","可冻结")))))))</x:f>
      </x:c>
    </x:row>
    <x:row r="123" ht="34" customHeight="1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41"/>
      <x:c r="V123" s="34"/>
      <x:c r="W123" s="35" t="str">
        <x:f>IF(A123="","",IF(E123="","缺少标准问题",IF(J123="","缺少预期状态",IF(AND(J123="ANSWER",K123=""),"缺少必答关键点",IF(AND(J123="INSUFFICIENT_EVIDENCE",O123=""),"缺少证据不足原因",IF(AND(J123="CONFLICT",OR(P123="",Q123&lt;2)),"补充冲突标注",IF(S123&lt;&gt;"已确认","待复核","可冻结")))))))</x:f>
      </x:c>
    </x:row>
    <x:row r="124" ht="34" customHeight="1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41"/>
      <x:c r="V124" s="34"/>
      <x:c r="W124" s="35" t="str">
        <x:f>IF(A124="","",IF(E124="","缺少标准问题",IF(J124="","缺少预期状态",IF(AND(J124="ANSWER",K124=""),"缺少必答关键点",IF(AND(J124="INSUFFICIENT_EVIDENCE",O124=""),"缺少证据不足原因",IF(AND(J124="CONFLICT",OR(P124="",Q124&lt;2)),"补充冲突标注",IF(S124&lt;&gt;"已确认","待复核","可冻结")))))))</x:f>
      </x:c>
    </x:row>
    <x:row r="125" ht="34" customHeight="1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41"/>
      <x:c r="V125" s="34"/>
      <x:c r="W125" s="35" t="str">
        <x:f>IF(A125="","",IF(E125="","缺少标准问题",IF(J125="","缺少预期状态",IF(AND(J125="ANSWER",K125=""),"缺少必答关键点",IF(AND(J125="INSUFFICIENT_EVIDENCE",O125=""),"缺少证据不足原因",IF(AND(J125="CONFLICT",OR(P125="",Q125&lt;2)),"补充冲突标注",IF(S125&lt;&gt;"已确认","待复核","可冻结")))))))</x:f>
      </x:c>
    </x:row>
    <x:row r="126" ht="34" customHeight="1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41"/>
      <x:c r="V126" s="34"/>
      <x:c r="W126" s="35" t="str">
        <x:f>IF(A126="","",IF(E126="","缺少标准问题",IF(J126="","缺少预期状态",IF(AND(J126="ANSWER",K126=""),"缺少必答关键点",IF(AND(J126="INSUFFICIENT_EVIDENCE",O126=""),"缺少证据不足原因",IF(AND(J126="CONFLICT",OR(P126="",Q126&lt;2)),"补充冲突标注",IF(S126&lt;&gt;"已确认","待复核","可冻结")))))))</x:f>
      </x:c>
    </x:row>
    <x:row r="127" ht="34" customHeight="1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41"/>
      <x:c r="V127" s="34"/>
      <x:c r="W127" s="35" t="str">
        <x:f>IF(A127="","",IF(E127="","缺少标准问题",IF(J127="","缺少预期状态",IF(AND(J127="ANSWER",K127=""),"缺少必答关键点",IF(AND(J127="INSUFFICIENT_EVIDENCE",O127=""),"缺少证据不足原因",IF(AND(J127="CONFLICT",OR(P127="",Q127&lt;2)),"补充冲突标注",IF(S127&lt;&gt;"已确认","待复核","可冻结")))))))</x:f>
      </x:c>
    </x:row>
    <x:row r="128" ht="34" customHeight="1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41"/>
      <x:c r="V128" s="34"/>
      <x:c r="W128" s="35" t="str">
        <x:f>IF(A128="","",IF(E128="","缺少标准问题",IF(J128="","缺少预期状态",IF(AND(J128="ANSWER",K128=""),"缺少必答关键点",IF(AND(J128="INSUFFICIENT_EVIDENCE",O128=""),"缺少证据不足原因",IF(AND(J128="CONFLICT",OR(P128="",Q128&lt;2)),"补充冲突标注",IF(S128&lt;&gt;"已确认","待复核","可冻结")))))))</x:f>
      </x:c>
    </x:row>
    <x:row r="129" ht="34" customHeight="1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41"/>
      <x:c r="V129" s="34"/>
      <x:c r="W129" s="35" t="str">
        <x:f>IF(A129="","",IF(E129="","缺少标准问题",IF(J129="","缺少预期状态",IF(AND(J129="ANSWER",K129=""),"缺少必答关键点",IF(AND(J129="INSUFFICIENT_EVIDENCE",O129=""),"缺少证据不足原因",IF(AND(J129="CONFLICT",OR(P129="",Q129&lt;2)),"补充冲突标注",IF(S129&lt;&gt;"已确认","待复核","可冻结")))))))</x:f>
      </x:c>
    </x:row>
    <x:row r="130" ht="34" customHeight="1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41"/>
      <x:c r="V130" s="34"/>
      <x:c r="W130" s="35" t="str">
        <x:f>IF(A130="","",IF(E130="","缺少标准问题",IF(J130="","缺少预期状态",IF(AND(J130="ANSWER",K130=""),"缺少必答关键点",IF(AND(J130="INSUFFICIENT_EVIDENCE",O130=""),"缺少证据不足原因",IF(AND(J130="CONFLICT",OR(P130="",Q130&lt;2)),"补充冲突标注",IF(S130&lt;&gt;"已确认","待复核","可冻结")))))))</x:f>
      </x:c>
    </x:row>
    <x:row r="131" ht="34" customHeight="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41"/>
      <x:c r="V131" s="34"/>
      <x:c r="W131" s="35" t="str">
        <x:f>IF(A131="","",IF(E131="","缺少标准问题",IF(J131="","缺少预期状态",IF(AND(J131="ANSWER",K131=""),"缺少必答关键点",IF(AND(J131="INSUFFICIENT_EVIDENCE",O131=""),"缺少证据不足原因",IF(AND(J131="CONFLICT",OR(P131="",Q131&lt;2)),"补充冲突标注",IF(S131&lt;&gt;"已确认","待复核","可冻结")))))))</x:f>
      </x:c>
    </x:row>
    <x:row r="132" ht="34" customHeight="1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41"/>
      <x:c r="V132" s="34"/>
      <x:c r="W132" s="35" t="str">
        <x:f>IF(A132="","",IF(E132="","缺少标准问题",IF(J132="","缺少预期状态",IF(AND(J132="ANSWER",K132=""),"缺少必答关键点",IF(AND(J132="INSUFFICIENT_EVIDENCE",O132=""),"缺少证据不足原因",IF(AND(J132="CONFLICT",OR(P132="",Q132&lt;2)),"补充冲突标注",IF(S132&lt;&gt;"已确认","待复核","可冻结")))))))</x:f>
      </x:c>
    </x:row>
    <x:row r="133" ht="34" customHeight="1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41"/>
      <x:c r="V133" s="34"/>
      <x:c r="W133" s="35" t="str">
        <x:f>IF(A133="","",IF(E133="","缺少标准问题",IF(J133="","缺少预期状态",IF(AND(J133="ANSWER",K133=""),"缺少必答关键点",IF(AND(J133="INSUFFICIENT_EVIDENCE",O133=""),"缺少证据不足原因",IF(AND(J133="CONFLICT",OR(P133="",Q133&lt;2)),"补充冲突标注",IF(S133&lt;&gt;"已确认","待复核","可冻结")))))))</x:f>
      </x:c>
    </x:row>
    <x:row r="134" ht="34" customHeight="1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41"/>
      <x:c r="V134" s="34"/>
      <x:c r="W134" s="35" t="str">
        <x:f>IF(A134="","",IF(E134="","缺少标准问题",IF(J134="","缺少预期状态",IF(AND(J134="ANSWER",K134=""),"缺少必答关键点",IF(AND(J134="INSUFFICIENT_EVIDENCE",O134=""),"缺少证据不足原因",IF(AND(J134="CONFLICT",OR(P134="",Q134&lt;2)),"补充冲突标注",IF(S134&lt;&gt;"已确认","待复核","可冻结")))))))</x:f>
      </x:c>
    </x:row>
    <x:row r="135" ht="34" customHeight="1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41"/>
      <x:c r="V135" s="34"/>
      <x:c r="W135" s="35" t="str">
        <x:f>IF(A135="","",IF(E135="","缺少标准问题",IF(J135="","缺少预期状态",IF(AND(J135="ANSWER",K135=""),"缺少必答关键点",IF(AND(J135="INSUFFICIENT_EVIDENCE",O135=""),"缺少证据不足原因",IF(AND(J135="CONFLICT",OR(P135="",Q135&lt;2)),"补充冲突标注",IF(S135&lt;&gt;"已确认","待复核","可冻结")))))))</x:f>
      </x:c>
    </x:row>
    <x:row r="136" ht="34" customHeight="1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41"/>
      <x:c r="V136" s="34"/>
      <x:c r="W136" s="35" t="str">
        <x:f>IF(A136="","",IF(E136="","缺少标准问题",IF(J136="","缺少预期状态",IF(AND(J136="ANSWER",K136=""),"缺少必答关键点",IF(AND(J136="INSUFFICIENT_EVIDENCE",O136=""),"缺少证据不足原因",IF(AND(J136="CONFLICT",OR(P136="",Q136&lt;2)),"补充冲突标注",IF(S136&lt;&gt;"已确认","待复核","可冻结")))))))</x:f>
      </x:c>
    </x:row>
    <x:row r="137" ht="34" customHeight="1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41"/>
      <x:c r="V137" s="34"/>
      <x:c r="W137" s="35" t="str">
        <x:f>IF(A137="","",IF(E137="","缺少标准问题",IF(J137="","缺少预期状态",IF(AND(J137="ANSWER",K137=""),"缺少必答关键点",IF(AND(J137="INSUFFICIENT_EVIDENCE",O137=""),"缺少证据不足原因",IF(AND(J137="CONFLICT",OR(P137="",Q137&lt;2)),"补充冲突标注",IF(S137&lt;&gt;"已确认","待复核","可冻结")))))))</x:f>
      </x:c>
    </x:row>
    <x:row r="138" ht="34" customHeight="1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41"/>
      <x:c r="V138" s="34"/>
      <x:c r="W138" s="35" t="str">
        <x:f>IF(A138="","",IF(E138="","缺少标准问题",IF(J138="","缺少预期状态",IF(AND(J138="ANSWER",K138=""),"缺少必答关键点",IF(AND(J138="INSUFFICIENT_EVIDENCE",O138=""),"缺少证据不足原因",IF(AND(J138="CONFLICT",OR(P138="",Q138&lt;2)),"补充冲突标注",IF(S138&lt;&gt;"已确认","待复核","可冻结")))))))</x:f>
      </x:c>
    </x:row>
    <x:row r="139" ht="34" customHeight="1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41"/>
      <x:c r="V139" s="34"/>
      <x:c r="W139" s="35" t="str">
        <x:f>IF(A139="","",IF(E139="","缺少标准问题",IF(J139="","缺少预期状态",IF(AND(J139="ANSWER",K139=""),"缺少必答关键点",IF(AND(J139="INSUFFICIENT_EVIDENCE",O139=""),"缺少证据不足原因",IF(AND(J139="CONFLICT",OR(P139="",Q139&lt;2)),"补充冲突标注",IF(S139&lt;&gt;"已确认","待复核","可冻结")))))))</x:f>
      </x:c>
    </x:row>
    <x:row r="140" ht="34" customHeight="1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41"/>
      <x:c r="V140" s="34"/>
      <x:c r="W140" s="35" t="str">
        <x:f>IF(A140="","",IF(E140="","缺少标准问题",IF(J140="","缺少预期状态",IF(AND(J140="ANSWER",K140=""),"缺少必答关键点",IF(AND(J140="INSUFFICIENT_EVIDENCE",O140=""),"缺少证据不足原因",IF(AND(J140="CONFLICT",OR(P140="",Q140&lt;2)),"补充冲突标注",IF(S140&lt;&gt;"已确认","待复核","可冻结")))))))</x:f>
      </x:c>
    </x:row>
    <x:row r="141" ht="34" customHeight="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41"/>
      <x:c r="V141" s="34"/>
      <x:c r="W141" s="35" t="str">
        <x:f>IF(A141="","",IF(E141="","缺少标准问题",IF(J141="","缺少预期状态",IF(AND(J141="ANSWER",K141=""),"缺少必答关键点",IF(AND(J141="INSUFFICIENT_EVIDENCE",O141=""),"缺少证据不足原因",IF(AND(J141="CONFLICT",OR(P141="",Q141&lt;2)),"补充冲突标注",IF(S141&lt;&gt;"已确认","待复核","可冻结")))))))</x:f>
      </x:c>
    </x:row>
    <x:row r="142" ht="34" customHeight="1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41"/>
      <x:c r="V142" s="34"/>
      <x:c r="W142" s="35" t="str">
        <x:f>IF(A142="","",IF(E142="","缺少标准问题",IF(J142="","缺少预期状态",IF(AND(J142="ANSWER",K142=""),"缺少必答关键点",IF(AND(J142="INSUFFICIENT_EVIDENCE",O142=""),"缺少证据不足原因",IF(AND(J142="CONFLICT",OR(P142="",Q142&lt;2)),"补充冲突标注",IF(S142&lt;&gt;"已确认","待复核","可冻结")))))))</x:f>
      </x:c>
    </x:row>
    <x:row r="143" ht="34" customHeight="1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41"/>
      <x:c r="V143" s="34"/>
      <x:c r="W143" s="35" t="str">
        <x:f>IF(A143="","",IF(E143="","缺少标准问题",IF(J143="","缺少预期状态",IF(AND(J143="ANSWER",K143=""),"缺少必答关键点",IF(AND(J143="INSUFFICIENT_EVIDENCE",O143=""),"缺少证据不足原因",IF(AND(J143="CONFLICT",OR(P143="",Q143&lt;2)),"补充冲突标注",IF(S143&lt;&gt;"已确认","待复核","可冻结")))))))</x:f>
      </x:c>
    </x:row>
    <x:row r="144" ht="34" customHeight="1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41"/>
      <x:c r="V144" s="34"/>
      <x:c r="W144" s="35" t="str">
        <x:f>IF(A144="","",IF(E144="","缺少标准问题",IF(J144="","缺少预期状态",IF(AND(J144="ANSWER",K144=""),"缺少必答关键点",IF(AND(J144="INSUFFICIENT_EVIDENCE",O144=""),"缺少证据不足原因",IF(AND(J144="CONFLICT",OR(P144="",Q144&lt;2)),"补充冲突标注",IF(S144&lt;&gt;"已确认","待复核","可冻结")))))))</x:f>
      </x:c>
    </x:row>
    <x:row r="145" ht="34" customHeight="1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41"/>
      <x:c r="V145" s="34"/>
      <x:c r="W145" s="35" t="str">
        <x:f>IF(A145="","",IF(E145="","缺少标准问题",IF(J145="","缺少预期状态",IF(AND(J145="ANSWER",K145=""),"缺少必答关键点",IF(AND(J145="INSUFFICIENT_EVIDENCE",O145=""),"缺少证据不足原因",IF(AND(J145="CONFLICT",OR(P145="",Q145&lt;2)),"补充冲突标注",IF(S145&lt;&gt;"已确认","待复核","可冻结")))))))</x:f>
      </x:c>
    </x:row>
    <x:row r="146" ht="34" customHeight="1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41"/>
      <x:c r="V146" s="34"/>
      <x:c r="W146" s="35" t="str">
        <x:f>IF(A146="","",IF(E146="","缺少标准问题",IF(J146="","缺少预期状态",IF(AND(J146="ANSWER",K146=""),"缺少必答关键点",IF(AND(J146="INSUFFICIENT_EVIDENCE",O146=""),"缺少证据不足原因",IF(AND(J146="CONFLICT",OR(P146="",Q146&lt;2)),"补充冲突标注",IF(S146&lt;&gt;"已确认","待复核","可冻结")))))))</x:f>
      </x:c>
    </x:row>
    <x:row r="147" ht="34" customHeight="1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41"/>
      <x:c r="V147" s="34"/>
      <x:c r="W147" s="35" t="str">
        <x:f>IF(A147="","",IF(E147="","缺少标准问题",IF(J147="","缺少预期状态",IF(AND(J147="ANSWER",K147=""),"缺少必答关键点",IF(AND(J147="INSUFFICIENT_EVIDENCE",O147=""),"缺少证据不足原因",IF(AND(J147="CONFLICT",OR(P147="",Q147&lt;2)),"补充冲突标注",IF(S147&lt;&gt;"已确认","待复核","可冻结")))))))</x:f>
      </x:c>
    </x:row>
    <x:row r="148" ht="34" customHeight="1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41"/>
      <x:c r="V148" s="34"/>
      <x:c r="W148" s="35" t="str">
        <x:f>IF(A148="","",IF(E148="","缺少标准问题",IF(J148="","缺少预期状态",IF(AND(J148="ANSWER",K148=""),"缺少必答关键点",IF(AND(J148="INSUFFICIENT_EVIDENCE",O148=""),"缺少证据不足原因",IF(AND(J148="CONFLICT",OR(P148="",Q148&lt;2)),"补充冲突标注",IF(S148&lt;&gt;"已确认","待复核","可冻结")))))))</x:f>
      </x:c>
    </x:row>
    <x:row r="149" ht="34" customHeight="1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41"/>
      <x:c r="V149" s="34"/>
      <x:c r="W149" s="35" t="str">
        <x:f>IF(A149="","",IF(E149="","缺少标准问题",IF(J149="","缺少预期状态",IF(AND(J149="ANSWER",K149=""),"缺少必答关键点",IF(AND(J149="INSUFFICIENT_EVIDENCE",O149=""),"缺少证据不足原因",IF(AND(J149="CONFLICT",OR(P149="",Q149&lt;2)),"补充冲突标注",IF(S149&lt;&gt;"已确认","待复核","可冻结")))))))</x:f>
      </x:c>
    </x:row>
    <x:row r="150" ht="34" customHeight="1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41"/>
      <x:c r="V150" s="34"/>
      <x:c r="W150" s="35" t="str">
        <x:f>IF(A150="","",IF(E150="","缺少标准问题",IF(J150="","缺少预期状态",IF(AND(J150="ANSWER",K150=""),"缺少必答关键点",IF(AND(J150="INSUFFICIENT_EVIDENCE",O150=""),"缺少证据不足原因",IF(AND(J150="CONFLICT",OR(P150="",Q150&lt;2)),"补充冲突标注",IF(S150&lt;&gt;"已确认","待复核","可冻结")))))))</x:f>
      </x:c>
    </x:row>
    <x:row r="151" ht="34" customHeight="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41"/>
      <x:c r="V151" s="34"/>
      <x:c r="W151" s="35" t="str">
        <x:f>IF(A151="","",IF(E151="","缺少标准问题",IF(J151="","缺少预期状态",IF(AND(J151="ANSWER",K151=""),"缺少必答关键点",IF(AND(J151="INSUFFICIENT_EVIDENCE",O151=""),"缺少证据不足原因",IF(AND(J151="CONFLICT",OR(P151="",Q151&lt;2)),"补充冲突标注",IF(S151&lt;&gt;"已确认","待复核","可冻结")))))))</x:f>
      </x:c>
    </x:row>
    <x:row r="152" ht="34" customHeight="1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41"/>
      <x:c r="V152" s="34"/>
      <x:c r="W152" s="35" t="str">
        <x:f>IF(A152="","",IF(E152="","缺少标准问题",IF(J152="","缺少预期状态",IF(AND(J152="ANSWER",K152=""),"缺少必答关键点",IF(AND(J152="INSUFFICIENT_EVIDENCE",O152=""),"缺少证据不足原因",IF(AND(J152="CONFLICT",OR(P152="",Q152&lt;2)),"补充冲突标注",IF(S152&lt;&gt;"已确认","待复核","可冻结")))))))</x:f>
      </x:c>
    </x:row>
    <x:row r="153" ht="34" customHeight="1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41"/>
      <x:c r="V153" s="34"/>
      <x:c r="W153" s="35" t="str">
        <x:f>IF(A153="","",IF(E153="","缺少标准问题",IF(J153="","缺少预期状态",IF(AND(J153="ANSWER",K153=""),"缺少必答关键点",IF(AND(J153="INSUFFICIENT_EVIDENCE",O153=""),"缺少证据不足原因",IF(AND(J153="CONFLICT",OR(P153="",Q153&lt;2)),"补充冲突标注",IF(S153&lt;&gt;"已确认","待复核","可冻结")))))))</x:f>
      </x:c>
    </x:row>
    <x:row r="154" ht="34" customHeight="1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41"/>
      <x:c r="V154" s="34"/>
      <x:c r="W154" s="35" t="str">
        <x:f>IF(A154="","",IF(E154="","缺少标准问题",IF(J154="","缺少预期状态",IF(AND(J154="ANSWER",K154=""),"缺少必答关键点",IF(AND(J154="INSUFFICIENT_EVIDENCE",O154=""),"缺少证据不足原因",IF(AND(J154="CONFLICT",OR(P154="",Q154&lt;2)),"补充冲突标注",IF(S154&lt;&gt;"已确认","待复核","可冻结")))))))</x:f>
      </x:c>
    </x:row>
    <x:row r="155" ht="34" customHeight="1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41"/>
      <x:c r="V155" s="34"/>
      <x:c r="W155" s="35" t="str">
        <x:f>IF(A155="","",IF(E155="","缺少标准问题",IF(J155="","缺少预期状态",IF(AND(J155="ANSWER",K155=""),"缺少必答关键点",IF(AND(J155="INSUFFICIENT_EVIDENCE",O155=""),"缺少证据不足原因",IF(AND(J155="CONFLICT",OR(P155="",Q155&lt;2)),"补充冲突标注",IF(S155&lt;&gt;"已确认","待复核","可冻结")))))))</x:f>
      </x:c>
    </x:row>
    <x:row r="156" ht="34" customHeight="1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41"/>
      <x:c r="V156" s="34"/>
      <x:c r="W156" s="35" t="str">
        <x:f>IF(A156="","",IF(E156="","缺少标准问题",IF(J156="","缺少预期状态",IF(AND(J156="ANSWER",K156=""),"缺少必答关键点",IF(AND(J156="INSUFFICIENT_EVIDENCE",O156=""),"缺少证据不足原因",IF(AND(J156="CONFLICT",OR(P156="",Q156&lt;2)),"补充冲突标注",IF(S156&lt;&gt;"已确认","待复核","可冻结")))))))</x:f>
      </x:c>
    </x:row>
    <x:row r="157" ht="34" customHeight="1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41"/>
      <x:c r="V157" s="34"/>
      <x:c r="W157" s="35" t="str">
        <x:f>IF(A157="","",IF(E157="","缺少标准问题",IF(J157="","缺少预期状态",IF(AND(J157="ANSWER",K157=""),"缺少必答关键点",IF(AND(J157="INSUFFICIENT_EVIDENCE",O157=""),"缺少证据不足原因",IF(AND(J157="CONFLICT",OR(P157="",Q157&lt;2)),"补充冲突标注",IF(S157&lt;&gt;"已确认","待复核","可冻结")))))))</x:f>
      </x:c>
    </x:row>
    <x:row r="158" ht="34" customHeight="1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41"/>
      <x:c r="V158" s="34"/>
      <x:c r="W158" s="35" t="str">
        <x:f>IF(A158="","",IF(E158="","缺少标准问题",IF(J158="","缺少预期状态",IF(AND(J158="ANSWER",K158=""),"缺少必答关键点",IF(AND(J158="INSUFFICIENT_EVIDENCE",O158=""),"缺少证据不足原因",IF(AND(J158="CONFLICT",OR(P158="",Q158&lt;2)),"补充冲突标注",IF(S158&lt;&gt;"已确认","待复核","可冻结")))))))</x:f>
      </x:c>
    </x:row>
    <x:row r="159" ht="34" customHeight="1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41"/>
      <x:c r="V159" s="34"/>
      <x:c r="W159" s="35" t="str">
        <x:f>IF(A159="","",IF(E159="","缺少标准问题",IF(J159="","缺少预期状态",IF(AND(J159="ANSWER",K159=""),"缺少必答关键点",IF(AND(J159="INSUFFICIENT_EVIDENCE",O159=""),"缺少证据不足原因",IF(AND(J159="CONFLICT",OR(P159="",Q159&lt;2)),"补充冲突标注",IF(S159&lt;&gt;"已确认","待复核","可冻结")))))))</x:f>
      </x:c>
    </x:row>
    <x:row r="160" ht="34" customHeight="1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41"/>
      <x:c r="V160" s="34"/>
      <x:c r="W160" s="35" t="str">
        <x:f>IF(A160="","",IF(E160="","缺少标准问题",IF(J160="","缺少预期状态",IF(AND(J160="ANSWER",K160=""),"缺少必答关键点",IF(AND(J160="INSUFFICIENT_EVIDENCE",O160=""),"缺少证据不足原因",IF(AND(J160="CONFLICT",OR(P160="",Q160&lt;2)),"补充冲突标注",IF(S160&lt;&gt;"已确认","待复核","可冻结")))))))</x:f>
      </x:c>
    </x:row>
    <x:row r="161" ht="34" customHeight="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41"/>
      <x:c r="V161" s="34"/>
      <x:c r="W161" s="35" t="str">
        <x:f>IF(A161="","",IF(E161="","缺少标准问题",IF(J161="","缺少预期状态",IF(AND(J161="ANSWER",K161=""),"缺少必答关键点",IF(AND(J161="INSUFFICIENT_EVIDENCE",O161=""),"缺少证据不足原因",IF(AND(J161="CONFLICT",OR(P161="",Q161&lt;2)),"补充冲突标注",IF(S161&lt;&gt;"已确认","待复核","可冻结")))))))</x:f>
      </x:c>
    </x:row>
    <x:row r="162" ht="34" customHeight="1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41"/>
      <x:c r="V162" s="34"/>
      <x:c r="W162" s="35" t="str">
        <x:f>IF(A162="","",IF(E162="","缺少标准问题",IF(J162="","缺少预期状态",IF(AND(J162="ANSWER",K162=""),"缺少必答关键点",IF(AND(J162="INSUFFICIENT_EVIDENCE",O162=""),"缺少证据不足原因",IF(AND(J162="CONFLICT",OR(P162="",Q162&lt;2)),"补充冲突标注",IF(S162&lt;&gt;"已确认","待复核","可冻结")))))))</x:f>
      </x:c>
    </x:row>
    <x:row r="163" ht="34" customHeight="1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41"/>
      <x:c r="V163" s="34"/>
      <x:c r="W163" s="35" t="str">
        <x:f>IF(A163="","",IF(E163="","缺少标准问题",IF(J163="","缺少预期状态",IF(AND(J163="ANSWER",K163=""),"缺少必答关键点",IF(AND(J163="INSUFFICIENT_EVIDENCE",O163=""),"缺少证据不足原因",IF(AND(J163="CONFLICT",OR(P163="",Q163&lt;2)),"补充冲突标注",IF(S163&lt;&gt;"已确认","待复核","可冻结")))))))</x:f>
      </x:c>
    </x:row>
    <x:row r="164" ht="34" customHeight="1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41"/>
      <x:c r="V164" s="34"/>
      <x:c r="W164" s="35" t="str">
        <x:f>IF(A164="","",IF(E164="","缺少标准问题",IF(J164="","缺少预期状态",IF(AND(J164="ANSWER",K164=""),"缺少必答关键点",IF(AND(J164="INSUFFICIENT_EVIDENCE",O164=""),"缺少证据不足原因",IF(AND(J164="CONFLICT",OR(P164="",Q164&lt;2)),"补充冲突标注",IF(S164&lt;&gt;"已确认","待复核","可冻结")))))))</x:f>
      </x:c>
    </x:row>
    <x:row r="165" ht="34" customHeight="1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41"/>
      <x:c r="V165" s="34"/>
      <x:c r="W165" s="35" t="str">
        <x:f>IF(A165="","",IF(E165="","缺少标准问题",IF(J165="","缺少预期状态",IF(AND(J165="ANSWER",K165=""),"缺少必答关键点",IF(AND(J165="INSUFFICIENT_EVIDENCE",O165=""),"缺少证据不足原因",IF(AND(J165="CONFLICT",OR(P165="",Q165&lt;2)),"补充冲突标注",IF(S165&lt;&gt;"已确认","待复核","可冻结")))))))</x:f>
      </x:c>
    </x:row>
    <x:row r="166" ht="34" customHeight="1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41"/>
      <x:c r="V166" s="34"/>
      <x:c r="W166" s="35" t="str">
        <x:f>IF(A166="","",IF(E166="","缺少标准问题",IF(J166="","缺少预期状态",IF(AND(J166="ANSWER",K166=""),"缺少必答关键点",IF(AND(J166="INSUFFICIENT_EVIDENCE",O166=""),"缺少证据不足原因",IF(AND(J166="CONFLICT",OR(P166="",Q166&lt;2)),"补充冲突标注",IF(S166&lt;&gt;"已确认","待复核","可冻结")))))))</x:f>
      </x:c>
    </x:row>
    <x:row r="167" ht="34" customHeight="1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41"/>
      <x:c r="V167" s="34"/>
      <x:c r="W167" s="35" t="str">
        <x:f>IF(A167="","",IF(E167="","缺少标准问题",IF(J167="","缺少预期状态",IF(AND(J167="ANSWER",K167=""),"缺少必答关键点",IF(AND(J167="INSUFFICIENT_EVIDENCE",O167=""),"缺少证据不足原因",IF(AND(J167="CONFLICT",OR(P167="",Q167&lt;2)),"补充冲突标注",IF(S167&lt;&gt;"已确认","待复核","可冻结")))))))</x:f>
      </x:c>
    </x:row>
    <x:row r="168" ht="34" customHeight="1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41"/>
      <x:c r="V168" s="34"/>
      <x:c r="W168" s="35" t="str">
        <x:f>IF(A168="","",IF(E168="","缺少标准问题",IF(J168="","缺少预期状态",IF(AND(J168="ANSWER",K168=""),"缺少必答关键点",IF(AND(J168="INSUFFICIENT_EVIDENCE",O168=""),"缺少证据不足原因",IF(AND(J168="CONFLICT",OR(P168="",Q168&lt;2)),"补充冲突标注",IF(S168&lt;&gt;"已确认","待复核","可冻结")))))))</x:f>
      </x:c>
    </x:row>
    <x:row r="169" ht="34" customHeight="1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41"/>
      <x:c r="V169" s="34"/>
      <x:c r="W169" s="35" t="str">
        <x:f>IF(A169="","",IF(E169="","缺少标准问题",IF(J169="","缺少预期状态",IF(AND(J169="ANSWER",K169=""),"缺少必答关键点",IF(AND(J169="INSUFFICIENT_EVIDENCE",O169=""),"缺少证据不足原因",IF(AND(J169="CONFLICT",OR(P169="",Q169&lt;2)),"补充冲突标注",IF(S169&lt;&gt;"已确认","待复核","可冻结")))))))</x:f>
      </x:c>
    </x:row>
    <x:row r="170" ht="34" customHeight="1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41"/>
      <x:c r="V170" s="34"/>
      <x:c r="W170" s="35" t="str">
        <x:f>IF(A170="","",IF(E170="","缺少标准问题",IF(J170="","缺少预期状态",IF(AND(J170="ANSWER",K170=""),"缺少必答关键点",IF(AND(J170="INSUFFICIENT_EVIDENCE",O170=""),"缺少证据不足原因",IF(AND(J170="CONFLICT",OR(P170="",Q170&lt;2)),"补充冲突标注",IF(S170&lt;&gt;"已确认","待复核","可冻结")))))))</x:f>
      </x:c>
    </x:row>
    <x:row r="171" ht="34" customHeight="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41"/>
      <x:c r="V171" s="34"/>
      <x:c r="W171" s="35" t="str">
        <x:f>IF(A171="","",IF(E171="","缺少标准问题",IF(J171="","缺少预期状态",IF(AND(J171="ANSWER",K171=""),"缺少必答关键点",IF(AND(J171="INSUFFICIENT_EVIDENCE",O171=""),"缺少证据不足原因",IF(AND(J171="CONFLICT",OR(P171="",Q171&lt;2)),"补充冲突标注",IF(S171&lt;&gt;"已确认","待复核","可冻结")))))))</x:f>
      </x:c>
    </x:row>
    <x:row r="172" ht="34" customHeight="1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41"/>
      <x:c r="V172" s="34"/>
      <x:c r="W172" s="35" t="str">
        <x:f>IF(A172="","",IF(E172="","缺少标准问题",IF(J172="","缺少预期状态",IF(AND(J172="ANSWER",K172=""),"缺少必答关键点",IF(AND(J172="INSUFFICIENT_EVIDENCE",O172=""),"缺少证据不足原因",IF(AND(J172="CONFLICT",OR(P172="",Q172&lt;2)),"补充冲突标注",IF(S172&lt;&gt;"已确认","待复核","可冻结")))))))</x:f>
      </x:c>
    </x:row>
    <x:row r="173" ht="34" customHeight="1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41"/>
      <x:c r="V173" s="34"/>
      <x:c r="W173" s="35" t="str">
        <x:f>IF(A173="","",IF(E173="","缺少标准问题",IF(J173="","缺少预期状态",IF(AND(J173="ANSWER",K173=""),"缺少必答关键点",IF(AND(J173="INSUFFICIENT_EVIDENCE",O173=""),"缺少证据不足原因",IF(AND(J173="CONFLICT",OR(P173="",Q173&lt;2)),"补充冲突标注",IF(S173&lt;&gt;"已确认","待复核","可冻结")))))))</x:f>
      </x:c>
    </x:row>
    <x:row r="174" ht="34" customHeight="1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41"/>
      <x:c r="V174" s="34"/>
      <x:c r="W174" s="35" t="str">
        <x:f>IF(A174="","",IF(E174="","缺少标准问题",IF(J174="","缺少预期状态",IF(AND(J174="ANSWER",K174=""),"缺少必答关键点",IF(AND(J174="INSUFFICIENT_EVIDENCE",O174=""),"缺少证据不足原因",IF(AND(J174="CONFLICT",OR(P174="",Q174&lt;2)),"补充冲突标注",IF(S174&lt;&gt;"已确认","待复核","可冻结")))))))</x:f>
      </x:c>
    </x:row>
    <x:row r="175" ht="34" customHeight="1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41"/>
      <x:c r="V175" s="34"/>
      <x:c r="W175" s="35" t="str">
        <x:f>IF(A175="","",IF(E175="","缺少标准问题",IF(J175="","缺少预期状态",IF(AND(J175="ANSWER",K175=""),"缺少必答关键点",IF(AND(J175="INSUFFICIENT_EVIDENCE",O175=""),"缺少证据不足原因",IF(AND(J175="CONFLICT",OR(P175="",Q175&lt;2)),"补充冲突标注",IF(S175&lt;&gt;"已确认","待复核","可冻结")))))))</x:f>
      </x:c>
    </x:row>
    <x:row r="176" ht="34" customHeight="1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41"/>
      <x:c r="V176" s="34"/>
      <x:c r="W176" s="35" t="str">
        <x:f>IF(A176="","",IF(E176="","缺少标准问题",IF(J176="","缺少预期状态",IF(AND(J176="ANSWER",K176=""),"缺少必答关键点",IF(AND(J176="INSUFFICIENT_EVIDENCE",O176=""),"缺少证据不足原因",IF(AND(J176="CONFLICT",OR(P176="",Q176&lt;2)),"补充冲突标注",IF(S176&lt;&gt;"已确认","待复核","可冻结")))))))</x:f>
      </x:c>
    </x:row>
    <x:row r="177" ht="34" customHeight="1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41"/>
      <x:c r="V177" s="34"/>
      <x:c r="W177" s="35" t="str">
        <x:f>IF(A177="","",IF(E177="","缺少标准问题",IF(J177="","缺少预期状态",IF(AND(J177="ANSWER",K177=""),"缺少必答关键点",IF(AND(J177="INSUFFICIENT_EVIDENCE",O177=""),"缺少证据不足原因",IF(AND(J177="CONFLICT",OR(P177="",Q177&lt;2)),"补充冲突标注",IF(S177&lt;&gt;"已确认","待复核","可冻结")))))))</x:f>
      </x:c>
    </x:row>
    <x:row r="178" ht="34" customHeight="1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41"/>
      <x:c r="V178" s="34"/>
      <x:c r="W178" s="35" t="str">
        <x:f>IF(A178="","",IF(E178="","缺少标准问题",IF(J178="","缺少预期状态",IF(AND(J178="ANSWER",K178=""),"缺少必答关键点",IF(AND(J178="INSUFFICIENT_EVIDENCE",O178=""),"缺少证据不足原因",IF(AND(J178="CONFLICT",OR(P178="",Q178&lt;2)),"补充冲突标注",IF(S178&lt;&gt;"已确认","待复核","可冻结")))))))</x:f>
      </x:c>
    </x:row>
    <x:row r="179" ht="34" customHeight="1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41"/>
      <x:c r="V179" s="34"/>
      <x:c r="W179" s="35" t="str">
        <x:f>IF(A179="","",IF(E179="","缺少标准问题",IF(J179="","缺少预期状态",IF(AND(J179="ANSWER",K179=""),"缺少必答关键点",IF(AND(J179="INSUFFICIENT_EVIDENCE",O179=""),"缺少证据不足原因",IF(AND(J179="CONFLICT",OR(P179="",Q179&lt;2)),"补充冲突标注",IF(S179&lt;&gt;"已确认","待复核","可冻结")))))))</x:f>
      </x:c>
    </x:row>
    <x:row r="180" ht="34" customHeight="1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41"/>
      <x:c r="V180" s="34"/>
      <x:c r="W180" s="35" t="str">
        <x:f>IF(A180="","",IF(E180="","缺少标准问题",IF(J180="","缺少预期状态",IF(AND(J180="ANSWER",K180=""),"缺少必答关键点",IF(AND(J180="INSUFFICIENT_EVIDENCE",O180=""),"缺少证据不足原因",IF(AND(J180="CONFLICT",OR(P180="",Q180&lt;2)),"补充冲突标注",IF(S180&lt;&gt;"已确认","待复核","可冻结")))))))</x:f>
      </x:c>
    </x:row>
    <x:row r="181" ht="34" customHeight="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41"/>
      <x:c r="V181" s="34"/>
      <x:c r="W181" s="35" t="str">
        <x:f>IF(A181="","",IF(E181="","缺少标准问题",IF(J181="","缺少预期状态",IF(AND(J181="ANSWER",K181=""),"缺少必答关键点",IF(AND(J181="INSUFFICIENT_EVIDENCE",O181=""),"缺少证据不足原因",IF(AND(J181="CONFLICT",OR(P181="",Q181&lt;2)),"补充冲突标注",IF(S181&lt;&gt;"已确认","待复核","可冻结")))))))</x:f>
      </x:c>
    </x:row>
    <x:row r="182" ht="34" customHeight="1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41"/>
      <x:c r="V182" s="34"/>
      <x:c r="W182" s="35" t="str">
        <x:f>IF(A182="","",IF(E182="","缺少标准问题",IF(J182="","缺少预期状态",IF(AND(J182="ANSWER",K182=""),"缺少必答关键点",IF(AND(J182="INSUFFICIENT_EVIDENCE",O182=""),"缺少证据不足原因",IF(AND(J182="CONFLICT",OR(P182="",Q182&lt;2)),"补充冲突标注",IF(S182&lt;&gt;"已确认","待复核","可冻结")))))))</x:f>
      </x:c>
    </x:row>
    <x:row r="183" ht="34" customHeight="1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41"/>
      <x:c r="V183" s="34"/>
      <x:c r="W183" s="35" t="str">
        <x:f>IF(A183="","",IF(E183="","缺少标准问题",IF(J183="","缺少预期状态",IF(AND(J183="ANSWER",K183=""),"缺少必答关键点",IF(AND(J183="INSUFFICIENT_EVIDENCE",O183=""),"缺少证据不足原因",IF(AND(J183="CONFLICT",OR(P183="",Q183&lt;2)),"补充冲突标注",IF(S183&lt;&gt;"已确认","待复核","可冻结")))))))</x:f>
      </x:c>
    </x:row>
    <x:row r="184" ht="34" customHeight="1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41"/>
      <x:c r="V184" s="34"/>
      <x:c r="W184" s="35" t="str">
        <x:f>IF(A184="","",IF(E184="","缺少标准问题",IF(J184="","缺少预期状态",IF(AND(J184="ANSWER",K184=""),"缺少必答关键点",IF(AND(J184="INSUFFICIENT_EVIDENCE",O184=""),"缺少证据不足原因",IF(AND(J184="CONFLICT",OR(P184="",Q184&lt;2)),"补充冲突标注",IF(S184&lt;&gt;"已确认","待复核","可冻结")))))))</x:f>
      </x:c>
    </x:row>
    <x:row r="185" ht="34" customHeight="1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41"/>
      <x:c r="V185" s="34"/>
      <x:c r="W185" s="35" t="str">
        <x:f>IF(A185="","",IF(E185="","缺少标准问题",IF(J185="","缺少预期状态",IF(AND(J185="ANSWER",K185=""),"缺少必答关键点",IF(AND(J185="INSUFFICIENT_EVIDENCE",O185=""),"缺少证据不足原因",IF(AND(J185="CONFLICT",OR(P185="",Q185&lt;2)),"补充冲突标注",IF(S185&lt;&gt;"已确认","待复核","可冻结")))))))</x:f>
      </x:c>
    </x:row>
    <x:row r="186" ht="34" customHeight="1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41"/>
      <x:c r="V186" s="34"/>
      <x:c r="W186" s="35" t="str">
        <x:f>IF(A186="","",IF(E186="","缺少标准问题",IF(J186="","缺少预期状态",IF(AND(J186="ANSWER",K186=""),"缺少必答关键点",IF(AND(J186="INSUFFICIENT_EVIDENCE",O186=""),"缺少证据不足原因",IF(AND(J186="CONFLICT",OR(P186="",Q186&lt;2)),"补充冲突标注",IF(S186&lt;&gt;"已确认","待复核","可冻结")))))))</x:f>
      </x:c>
    </x:row>
    <x:row r="187" ht="34" customHeight="1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41"/>
      <x:c r="V187" s="34"/>
      <x:c r="W187" s="35" t="str">
        <x:f>IF(A187="","",IF(E187="","缺少标准问题",IF(J187="","缺少预期状态",IF(AND(J187="ANSWER",K187=""),"缺少必答关键点",IF(AND(J187="INSUFFICIENT_EVIDENCE",O187=""),"缺少证据不足原因",IF(AND(J187="CONFLICT",OR(P187="",Q187&lt;2)),"补充冲突标注",IF(S187&lt;&gt;"已确认","待复核","可冻结")))))))</x:f>
      </x:c>
    </x:row>
    <x:row r="188" ht="34" customHeight="1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41"/>
      <x:c r="V188" s="34"/>
      <x:c r="W188" s="35" t="str">
        <x:f>IF(A188="","",IF(E188="","缺少标准问题",IF(J188="","缺少预期状态",IF(AND(J188="ANSWER",K188=""),"缺少必答关键点",IF(AND(J188="INSUFFICIENT_EVIDENCE",O188=""),"缺少证据不足原因",IF(AND(J188="CONFLICT",OR(P188="",Q188&lt;2)),"补充冲突标注",IF(S188&lt;&gt;"已确认","待复核","可冻结")))))))</x:f>
      </x:c>
    </x:row>
    <x:row r="189" ht="34" customHeight="1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41"/>
      <x:c r="V189" s="34"/>
      <x:c r="W189" s="35" t="str">
        <x:f>IF(A189="","",IF(E189="","缺少标准问题",IF(J189="","缺少预期状态",IF(AND(J189="ANSWER",K189=""),"缺少必答关键点",IF(AND(J189="INSUFFICIENT_EVIDENCE",O189=""),"缺少证据不足原因",IF(AND(J189="CONFLICT",OR(P189="",Q189&lt;2)),"补充冲突标注",IF(S189&lt;&gt;"已确认","待复核","可冻结")))))))</x:f>
      </x:c>
    </x:row>
    <x:row r="190" ht="34" customHeight="1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41"/>
      <x:c r="V190" s="34"/>
      <x:c r="W190" s="35" t="str">
        <x:f>IF(A190="","",IF(E190="","缺少标准问题",IF(J190="","缺少预期状态",IF(AND(J190="ANSWER",K190=""),"缺少必答关键点",IF(AND(J190="INSUFFICIENT_EVIDENCE",O190=""),"缺少证据不足原因",IF(AND(J190="CONFLICT",OR(P190="",Q190&lt;2)),"补充冲突标注",IF(S190&lt;&gt;"已确认","待复核","可冻结")))))))</x:f>
      </x:c>
    </x:row>
    <x:row r="191" ht="34" customHeight="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41"/>
      <x:c r="V191" s="34"/>
      <x:c r="W191" s="35" t="str">
        <x:f>IF(A191="","",IF(E191="","缺少标准问题",IF(J191="","缺少预期状态",IF(AND(J191="ANSWER",K191=""),"缺少必答关键点",IF(AND(J191="INSUFFICIENT_EVIDENCE",O191=""),"缺少证据不足原因",IF(AND(J191="CONFLICT",OR(P191="",Q191&lt;2)),"补充冲突标注",IF(S191&lt;&gt;"已确认","待复核","可冻结")))))))</x:f>
      </x:c>
    </x:row>
    <x:row r="192" ht="34" customHeight="1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41"/>
      <x:c r="V192" s="34"/>
      <x:c r="W192" s="35" t="str">
        <x:f>IF(A192="","",IF(E192="","缺少标准问题",IF(J192="","缺少预期状态",IF(AND(J192="ANSWER",K192=""),"缺少必答关键点",IF(AND(J192="INSUFFICIENT_EVIDENCE",O192=""),"缺少证据不足原因",IF(AND(J192="CONFLICT",OR(P192="",Q192&lt;2)),"补充冲突标注",IF(S192&lt;&gt;"已确认","待复核","可冻结")))))))</x:f>
      </x:c>
    </x:row>
    <x:row r="193" ht="34" customHeight="1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41"/>
      <x:c r="V193" s="34"/>
      <x:c r="W193" s="35" t="str">
        <x:f>IF(A193="","",IF(E193="","缺少标准问题",IF(J193="","缺少预期状态",IF(AND(J193="ANSWER",K193=""),"缺少必答关键点",IF(AND(J193="INSUFFICIENT_EVIDENCE",O193=""),"缺少证据不足原因",IF(AND(J193="CONFLICT",OR(P193="",Q193&lt;2)),"补充冲突标注",IF(S193&lt;&gt;"已确认","待复核","可冻结")))))))</x:f>
      </x:c>
    </x:row>
    <x:row r="194" ht="34" customHeight="1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41"/>
      <x:c r="V194" s="34"/>
      <x:c r="W194" s="35" t="str">
        <x:f>IF(A194="","",IF(E194="","缺少标准问题",IF(J194="","缺少预期状态",IF(AND(J194="ANSWER",K194=""),"缺少必答关键点",IF(AND(J194="INSUFFICIENT_EVIDENCE",O194=""),"缺少证据不足原因",IF(AND(J194="CONFLICT",OR(P194="",Q194&lt;2)),"补充冲突标注",IF(S194&lt;&gt;"已确认","待复核","可冻结")))))))</x:f>
      </x:c>
    </x:row>
    <x:row r="195" ht="34" customHeight="1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41"/>
      <x:c r="V195" s="34"/>
      <x:c r="W195" s="35" t="str">
        <x:f>IF(A195="","",IF(E195="","缺少标准问题",IF(J195="","缺少预期状态",IF(AND(J195="ANSWER",K195=""),"缺少必答关键点",IF(AND(J195="INSUFFICIENT_EVIDENCE",O195=""),"缺少证据不足原因",IF(AND(J195="CONFLICT",OR(P195="",Q195&lt;2)),"补充冲突标注",IF(S195&lt;&gt;"已确认","待复核","可冻结")))))))</x:f>
      </x:c>
    </x:row>
    <x:row r="196" ht="34" customHeight="1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41"/>
      <x:c r="V196" s="34"/>
      <x:c r="W196" s="35" t="str">
        <x:f>IF(A196="","",IF(E196="","缺少标准问题",IF(J196="","缺少预期状态",IF(AND(J196="ANSWER",K196=""),"缺少必答关键点",IF(AND(J196="INSUFFICIENT_EVIDENCE",O196=""),"缺少证据不足原因",IF(AND(J196="CONFLICT",OR(P196="",Q196&lt;2)),"补充冲突标注",IF(S196&lt;&gt;"已确认","待复核","可冻结")))))))</x:f>
      </x:c>
    </x:row>
    <x:row r="197" ht="34" customHeight="1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41"/>
      <x:c r="V197" s="34"/>
      <x:c r="W197" s="35" t="str">
        <x:f>IF(A197="","",IF(E197="","缺少标准问题",IF(J197="","缺少预期状态",IF(AND(J197="ANSWER",K197=""),"缺少必答关键点",IF(AND(J197="INSUFFICIENT_EVIDENCE",O197=""),"缺少证据不足原因",IF(AND(J197="CONFLICT",OR(P197="",Q197&lt;2)),"补充冲突标注",IF(S197&lt;&gt;"已确认","待复核","可冻结")))))))</x:f>
      </x:c>
    </x:row>
    <x:row r="198" ht="34" customHeight="1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41"/>
      <x:c r="V198" s="34"/>
      <x:c r="W198" s="35" t="str">
        <x:f>IF(A198="","",IF(E198="","缺少标准问题",IF(J198="","缺少预期状态",IF(AND(J198="ANSWER",K198=""),"缺少必答关键点",IF(AND(J198="INSUFFICIENT_EVIDENCE",O198=""),"缺少证据不足原因",IF(AND(J198="CONFLICT",OR(P198="",Q198&lt;2)),"补充冲突标注",IF(S198&lt;&gt;"已确认","待复核","可冻结")))))))</x:f>
      </x:c>
    </x:row>
    <x:row r="199" ht="34" customHeight="1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41"/>
      <x:c r="V199" s="34"/>
      <x:c r="W199" s="35" t="str">
        <x:f>IF(A199="","",IF(E199="","缺少标准问题",IF(J199="","缺少预期状态",IF(AND(J199="ANSWER",K199=""),"缺少必答关键点",IF(AND(J199="INSUFFICIENT_EVIDENCE",O199=""),"缺少证据不足原因",IF(AND(J199="CONFLICT",OR(P199="",Q199&lt;2)),"补充冲突标注",IF(S199&lt;&gt;"已确认","待复核","可冻结")))))))</x:f>
      </x:c>
    </x:row>
    <x:row r="200" ht="34" customHeight="1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41"/>
      <x:c r="V200" s="34"/>
      <x:c r="W200" s="35" t="str">
        <x:f>IF(A200="","",IF(E200="","缺少标准问题",IF(J200="","缺少预期状态",IF(AND(J200="ANSWER",K200=""),"缺少必答关键点",IF(AND(J200="INSUFFICIENT_EVIDENCE",O200=""),"缺少证据不足原因",IF(AND(J200="CONFLICT",OR(P200="",Q200&lt;2)),"补充冲突标注",IF(S200&lt;&gt;"已确认","待复核","可冻结")))))))</x:f>
      </x:c>
    </x:row>
    <x:row r="201" ht="34" customHeight="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41"/>
      <x:c r="V201" s="34"/>
      <x:c r="W201" s="35" t="str">
        <x:f>IF(A201="","",IF(E201="","缺少标准问题",IF(J201="","缺少预期状态",IF(AND(J201="ANSWER",K201=""),"缺少必答关键点",IF(AND(J201="INSUFFICIENT_EVIDENCE",O201=""),"缺少证据不足原因",IF(AND(J201="CONFLICT",OR(P201="",Q201&lt;2)),"补充冲突标注",IF(S201&lt;&gt;"已确认","待复核","可冻结")))))))</x:f>
      </x:c>
    </x:row>
    <x:row r="202" ht="34" customHeight="1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41"/>
      <x:c r="V202" s="34"/>
      <x:c r="W202" s="35" t="str">
        <x:f>IF(A202="","",IF(E202="","缺少标准问题",IF(J202="","缺少预期状态",IF(AND(J202="ANSWER",K202=""),"缺少必答关键点",IF(AND(J202="INSUFFICIENT_EVIDENCE",O202=""),"缺少证据不足原因",IF(AND(J202="CONFLICT",OR(P202="",Q202&lt;2)),"补充冲突标注",IF(S202&lt;&gt;"已确认","待复核","可冻结")))))))</x:f>
      </x:c>
    </x:row>
    <x:row r="203" ht="34" customHeight="1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41"/>
      <x:c r="V203" s="34"/>
      <x:c r="W203" s="35" t="str">
        <x:f>IF(A203="","",IF(E203="","缺少标准问题",IF(J203="","缺少预期状态",IF(AND(J203="ANSWER",K203=""),"缺少必答关键点",IF(AND(J203="INSUFFICIENT_EVIDENCE",O203=""),"缺少证据不足原因",IF(AND(J203="CONFLICT",OR(P203="",Q203&lt;2)),"补充冲突标注",IF(S203&lt;&gt;"已确认","待复核","可冻结")))))))</x:f>
      </x:c>
    </x:row>
    <x:row r="204" ht="34" customHeight="1">
      <x:c r="A204" s="34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41"/>
      <x:c r="V204" s="34"/>
      <x:c r="W204" s="35" t="str">
        <x:f>IF(A204="","",IF(E204="","缺少标准问题",IF(J204="","缺少预期状态",IF(AND(J204="ANSWER",K204=""),"缺少必答关键点",IF(AND(J204="INSUFFICIENT_EVIDENCE",O204=""),"缺少证据不足原因",IF(AND(J204="CONFLICT",OR(P204="",Q204&lt;2)),"补充冲突标注",IF(S204&lt;&gt;"已确认","待复核","可冻结")))))))</x:f>
      </x:c>
    </x:row>
  </x:sheetData>
  <x:conditionalFormatting sqref="W5:W204">
    <x:cfRule type="containsText" dxfId="5" priority="1" operator="containsText" text="可提交"/>
    <x:cfRule type="containsText" dxfId="6" priority="2" operator="containsText" text="可冻结"/>
    <x:cfRule type="containsText" dxfId="7" priority="3" operator="containsText" text="可用"/>
    <x:cfRule type="containsText" dxfId="8" priority="4" operator="containsText" text="缺少"/>
    <x:cfRule type="containsText" dxfId="9" priority="5" operator="containsText" text="待"/>
  </x:conditionalFormatting>
  <x:dataValidations count="8">
    <x:dataValidation type="list" sqref="C5:C204">
      <x:formula1>"DEV,HOLDOUT,REGRESSION,PERF"</x:formula1>
    </x:dataValidation>
    <x:dataValidation type="list" sqref="G5:G204">
      <x:formula1>"事实定义,职责主体,办理流程,材料清单,时限日期,条件例外,数值阈值,表格计算,比较判断,跨制度,不可回答边界,冲突"</x:formula1>
    </x:dataValidation>
    <x:dataValidation type="list" sqref="H5:H204">
      <x:formula1>"简单,中等,困难"</x:formula1>
    </x:dataValidation>
    <x:dataValidation type="list" sqref="I5:I204">
      <x:formula1>"CURRENT,HISTORICAL"</x:formula1>
    </x:dataValidation>
    <x:dataValidation type="list" sqref="J5:J204">
      <x:formula1>"ANSWER,INSUFFICIENT_EVIDENCE,CONFLICT"</x:formula1>
    </x:dataValidation>
    <x:dataValidation type="list" sqref="N5:N204">
      <x:formula1>"any,all,not_applicable"</x:formula1>
    </x:dataValidation>
    <x:dataValidation type="whole" operator="between" sqref="Q5:Q204">
      <x:formula1>0</x:formula1>
      <x:formula2>10</x:formula2>
    </x:dataValidation>
    <x:dataValidation type="list" sqref="S5:S204">
      <x:formula1>"待复核,复核中,已确认,退回"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13f3e784474773"/>
  </x:tableParts>
</x:worksheet>
</file>

<file path=xl/worksheets/sheet5.xml><?xml version="1.0" encoding="utf-8"?>
<x:worksheet xmlns:x="http://schemas.openxmlformats.org/spreadsheetml/2006/main">
  <x:sheetPr>
    <x:tabColor rgb="FFF4B1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20" hidden="0" customWidth="1"/>
    <x:col min="5" max="5" width="16" hidden="0" customWidth="1"/>
    <x:col min="6" max="6" width="22" hidden="0" customWidth="1"/>
    <x:col min="7" max="7" width="16" hidden="0" customWidth="1"/>
    <x:col min="8" max="8" width="50" hidden="0" customWidth="1"/>
    <x:col min="9" max="9" width="24" hidden="0" customWidth="1"/>
    <x:col min="10" max="10" width="20" hidden="0" customWidth="1"/>
    <x:col min="11" max="11" width="20" hidden="0" customWidth="1"/>
    <x:col min="12" max="12" width="30" hidden="0" customWidth="1"/>
    <x:col min="13" max="13" width="16" hidden="0" customWidth="1"/>
    <x:col min="14" max="14" width="16" hidden="0" customWidth="1"/>
    <x:col min="15" max="15" width="70" hidden="0" customWidth="1"/>
    <x:col min="16" max="16" width="20" hidden="0" customWidth="1"/>
    <x:col min="17" max="17" width="24" hidden="0" customWidth="1"/>
    <x:col min="18" max="18" width="40" hidden="0" customWidth="1"/>
    <x:col min="19" max="19" width="18" hidden="0" customWidth="1"/>
    <x:col min="20" max="20" width="18" hidden="0" customWidth="1"/>
    <x:col min="21" max="21" width="18" hidden="0" customWidth="1"/>
    <x:col min="22" max="22" width="16" hidden="0" customWidth="1"/>
    <x:col min="23" max="23" width="50" hidden="0" customWidth="1"/>
    <x:col min="24" max="24" width="16" hidden="0" customWidth="1"/>
    <x:col min="25" max="25" width="35" hidden="0" customWidth="1"/>
    <x:col min="26" max="26" width="28" hidden="0" customWidth="1"/>
  </x:cols>
  <x:sheetData>
    <x:row r="1" ht="25" customHeight="1">
      <x:c r="A1" s="2" t="str">
        <x:v>证据标注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25" customHeight="1">
      <x:c r="A2" s="58" t="str">
        <x:v>一条证据占一行。公开 ID 和快照字段由系统或研发复核后回填。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 ht="36" customHeight="1">
      <x:c r="A4" s="59" t="str">
        <x:v>evidence_id</x:v>
      </x:c>
      <x:c r="B4" s="59" t="str">
        <x:v>case_id</x:v>
      </x:c>
      <x:c r="C4" s="59" t="str">
        <x:v>claim_or_position_id</x:v>
      </x:c>
      <x:c r="D4" s="59" t="str">
        <x:v>证据角色</x:v>
      </x:c>
      <x:c r="E4" s="59" t="str">
        <x:v>支持关系</x:v>
      </x:c>
      <x:c r="F4" s="59" t="str">
        <x:v>evidence_match_mode</x:v>
      </x:c>
      <x:c r="G4" s="59" t="str">
        <x:v>document_id</x:v>
      </x:c>
      <x:c r="H4" s="59" t="str">
        <x:v>document_title</x:v>
      </x:c>
      <x:c r="I4" s="59" t="str">
        <x:v>document_code</x:v>
      </x:c>
      <x:c r="J4" s="59" t="str">
        <x:v>document_status</x:v>
      </x:c>
      <x:c r="K4" s="59" t="str">
        <x:v>primary_node_id</x:v>
      </x:c>
      <x:c r="L4" s="59" t="str">
        <x:v>path_text</x:v>
      </x:c>
      <x:c r="M4" s="59" t="str">
        <x:v>page_start</x:v>
      </x:c>
      <x:c r="N4" s="59" t="str">
        <x:v>page_end</x:v>
      </x:c>
      <x:c r="O4" s="59" t="str">
        <x:v>quote</x:v>
      </x:c>
      <x:c r="P4" s="59" t="str">
        <x:v>citation_version</x:v>
      </x:c>
      <x:c r="Q4" s="59" t="str">
        <x:v>evidence_uid_version</x:v>
      </x:c>
      <x:c r="R4" s="59" t="str">
        <x:v>evidence_uid</x:v>
      </x:c>
      <x:c r="S4" s="59" t="str">
        <x:v>parse_run_id</x:v>
      </x:c>
      <x:c r="T4" s="59" t="str">
        <x:v>chunk_run_id</x:v>
      </x:c>
      <x:c r="U4" s="59" t="str">
        <x:v>index_run_id</x:v>
      </x:c>
      <x:c r="V4" s="59" t="str">
        <x:v>chunk_id</x:v>
      </x:c>
      <x:c r="W4" s="59" t="str">
        <x:v>snapshot_hash</x:v>
      </x:c>
      <x:c r="X4" s="59" t="str">
        <x:v>复核状态</x:v>
      </x:c>
      <x:c r="Y4" s="59" t="str">
        <x:v>备注</x:v>
      </x:c>
      <x:c r="Z4" s="59" t="str">
        <x:v>完整性检查</x:v>
      </x:c>
    </x:row>
    <x:row r="5" ht="34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3" t="str">
        <x:f>IF(A5="","",IF(B5="","缺少case_id",IF(OR(H5="",O5=""),"缺少制度或证据原文",IF(X5&lt;&gt;"已确认","待复核",IF(OR(G5="",K5="",S5="",T5="",U5="",V5="",W5=""),"待系统回填公开ID","可用")))))</x:f>
      </x:c>
    </x:row>
    <x:row r="6" ht="34" customHeight="1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5" t="str">
        <x:f>IF(A6="","",IF(B6="","缺少case_id",IF(OR(H6="",O6=""),"缺少制度或证据原文",IF(X6&lt;&gt;"已确认","待复核",IF(OR(G6="",K6="",S6="",T6="",U6="",V6="",W6=""),"待系统回填公开ID","可用")))))</x:f>
      </x:c>
    </x:row>
    <x:row r="7" ht="34" customHeight="1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5" t="str">
        <x:f>IF(A7="","",IF(B7="","缺少case_id",IF(OR(H7="",O7=""),"缺少制度或证据原文",IF(X7&lt;&gt;"已确认","待复核",IF(OR(G7="",K7="",S7="",T7="",U7="",V7="",W7=""),"待系统回填公开ID","可用")))))</x:f>
      </x:c>
    </x:row>
    <x:row r="8" ht="34" customHeight="1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5" t="str">
        <x:f>IF(A8="","",IF(B8="","缺少case_id",IF(OR(H8="",O8=""),"缺少制度或证据原文",IF(X8&lt;&gt;"已确认","待复核",IF(OR(G8="",K8="",S8="",T8="",U8="",V8="",W8=""),"待系统回填公开ID","可用")))))</x:f>
      </x:c>
    </x:row>
    <x:row r="9" ht="34" customHeight="1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5" t="str">
        <x:f>IF(A9="","",IF(B9="","缺少case_id",IF(OR(H9="",O9=""),"缺少制度或证据原文",IF(X9&lt;&gt;"已确认","待复核",IF(OR(G9="",K9="",S9="",T9="",U9="",V9="",W9=""),"待系统回填公开ID","可用")))))</x:f>
      </x:c>
    </x:row>
    <x:row r="10" ht="34" customHeight="1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5" t="str">
        <x:f>IF(A10="","",IF(B10="","缺少case_id",IF(OR(H10="",O10=""),"缺少制度或证据原文",IF(X10&lt;&gt;"已确认","待复核",IF(OR(G10="",K10="",S10="",T10="",U10="",V10="",W10=""),"待系统回填公开ID","可用")))))</x:f>
      </x:c>
    </x:row>
    <x:row r="11" ht="34" customHeight="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5" t="str">
        <x:f>IF(A11="","",IF(B11="","缺少case_id",IF(OR(H11="",O11=""),"缺少制度或证据原文",IF(X11&lt;&gt;"已确认","待复核",IF(OR(G11="",K11="",S11="",T11="",U11="",V11="",W11=""),"待系统回填公开ID","可用")))))</x:f>
      </x:c>
    </x:row>
    <x:row r="12" ht="34" customHeight="1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5" t="str">
        <x:f>IF(A12="","",IF(B12="","缺少case_id",IF(OR(H12="",O12=""),"缺少制度或证据原文",IF(X12&lt;&gt;"已确认","待复核",IF(OR(G12="",K12="",S12="",T12="",U12="",V12="",W12=""),"待系统回填公开ID","可用")))))</x:f>
      </x:c>
    </x:row>
    <x:row r="13" ht="34" customHeight="1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5" t="str">
        <x:f>IF(A13="","",IF(B13="","缺少case_id",IF(OR(H13="",O13=""),"缺少制度或证据原文",IF(X13&lt;&gt;"已确认","待复核",IF(OR(G13="",K13="",S13="",T13="",U13="",V13="",W13=""),"待系统回填公开ID","可用")))))</x:f>
      </x:c>
    </x:row>
    <x:row r="14" ht="34" customHeight="1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5" t="str">
        <x:f>IF(A14="","",IF(B14="","缺少case_id",IF(OR(H14="",O14=""),"缺少制度或证据原文",IF(X14&lt;&gt;"已确认","待复核",IF(OR(G14="",K14="",S14="",T14="",U14="",V14="",W14=""),"待系统回填公开ID","可用")))))</x:f>
      </x:c>
    </x:row>
    <x:row r="15" ht="34" customHeight="1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5" t="str">
        <x:f>IF(A15="","",IF(B15="","缺少case_id",IF(OR(H15="",O15=""),"缺少制度或证据原文",IF(X15&lt;&gt;"已确认","待复核",IF(OR(G15="",K15="",S15="",T15="",U15="",V15="",W15=""),"待系统回填公开ID","可用")))))</x:f>
      </x:c>
    </x:row>
    <x:row r="16" ht="34" customHeight="1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5" t="str">
        <x:f>IF(A16="","",IF(B16="","缺少case_id",IF(OR(H16="",O16=""),"缺少制度或证据原文",IF(X16&lt;&gt;"已确认","待复核",IF(OR(G16="",K16="",S16="",T16="",U16="",V16="",W16=""),"待系统回填公开ID","可用")))))</x:f>
      </x:c>
    </x:row>
    <x:row r="17" ht="34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5" t="str">
        <x:f>IF(A17="","",IF(B17="","缺少case_id",IF(OR(H17="",O17=""),"缺少制度或证据原文",IF(X17&lt;&gt;"已确认","待复核",IF(OR(G17="",K17="",S17="",T17="",U17="",V17="",W17=""),"待系统回填公开ID","可用")))))</x:f>
      </x:c>
    </x:row>
    <x:row r="18" ht="34" customHeight="1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5" t="str">
        <x:f>IF(A18="","",IF(B18="","缺少case_id",IF(OR(H18="",O18=""),"缺少制度或证据原文",IF(X18&lt;&gt;"已确认","待复核",IF(OR(G18="",K18="",S18="",T18="",U18="",V18="",W18=""),"待系统回填公开ID","可用")))))</x:f>
      </x:c>
    </x:row>
    <x:row r="19" ht="34" customHeight="1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5" t="str">
        <x:f>IF(A19="","",IF(B19="","缺少case_id",IF(OR(H19="",O19=""),"缺少制度或证据原文",IF(X19&lt;&gt;"已确认","待复核",IF(OR(G19="",K19="",S19="",T19="",U19="",V19="",W19=""),"待系统回填公开ID","可用")))))</x:f>
      </x:c>
    </x:row>
    <x:row r="20" ht="34" customHeight="1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5" t="str">
        <x:f>IF(A20="","",IF(B20="","缺少case_id",IF(OR(H20="",O20=""),"缺少制度或证据原文",IF(X20&lt;&gt;"已确认","待复核",IF(OR(G20="",K20="",S20="",T20="",U20="",V20="",W20=""),"待系统回填公开ID","可用")))))</x:f>
      </x:c>
    </x:row>
    <x:row r="21" ht="34" customHeight="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5" t="str">
        <x:f>IF(A21="","",IF(B21="","缺少case_id",IF(OR(H21="",O21=""),"缺少制度或证据原文",IF(X21&lt;&gt;"已确认","待复核",IF(OR(G21="",K21="",S21="",T21="",U21="",V21="",W21=""),"待系统回填公开ID","可用")))))</x:f>
      </x:c>
    </x:row>
    <x:row r="22" ht="34" customHeight="1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5" t="str">
        <x:f>IF(A22="","",IF(B22="","缺少case_id",IF(OR(H22="",O22=""),"缺少制度或证据原文",IF(X22&lt;&gt;"已确认","待复核",IF(OR(G22="",K22="",S22="",T22="",U22="",V22="",W22=""),"待系统回填公开ID","可用")))))</x:f>
      </x:c>
    </x:row>
    <x:row r="23" ht="34" customHeight="1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5" t="str">
        <x:f>IF(A23="","",IF(B23="","缺少case_id",IF(OR(H23="",O23=""),"缺少制度或证据原文",IF(X23&lt;&gt;"已确认","待复核",IF(OR(G23="",K23="",S23="",T23="",U23="",V23="",W23=""),"待系统回填公开ID","可用")))))</x:f>
      </x:c>
    </x:row>
    <x:row r="24" ht="34" customHeight="1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5" t="str">
        <x:f>IF(A24="","",IF(B24="","缺少case_id",IF(OR(H24="",O24=""),"缺少制度或证据原文",IF(X24&lt;&gt;"已确认","待复核",IF(OR(G24="",K24="",S24="",T24="",U24="",V24="",W24=""),"待系统回填公开ID","可用")))))</x:f>
      </x:c>
    </x:row>
    <x:row r="25" ht="34" customHeight="1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5" t="str">
        <x:f>IF(A25="","",IF(B25="","缺少case_id",IF(OR(H25="",O25=""),"缺少制度或证据原文",IF(X25&lt;&gt;"已确认","待复核",IF(OR(G25="",K25="",S25="",T25="",U25="",V25="",W25=""),"待系统回填公开ID","可用")))))</x:f>
      </x:c>
    </x:row>
    <x:row r="26" ht="34" customHeight="1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5" t="str">
        <x:f>IF(A26="","",IF(B26="","缺少case_id",IF(OR(H26="",O26=""),"缺少制度或证据原文",IF(X26&lt;&gt;"已确认","待复核",IF(OR(G26="",K26="",S26="",T26="",U26="",V26="",W26=""),"待系统回填公开ID","可用")))))</x:f>
      </x:c>
    </x:row>
    <x:row r="27" ht="34" customHeight="1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5" t="str">
        <x:f>IF(A27="","",IF(B27="","缺少case_id",IF(OR(H27="",O27=""),"缺少制度或证据原文",IF(X27&lt;&gt;"已确认","待复核",IF(OR(G27="",K27="",S27="",T27="",U27="",V27="",W27=""),"待系统回填公开ID","可用")))))</x:f>
      </x:c>
    </x:row>
    <x:row r="28" ht="34" customHeight="1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5" t="str">
        <x:f>IF(A28="","",IF(B28="","缺少case_id",IF(OR(H28="",O28=""),"缺少制度或证据原文",IF(X28&lt;&gt;"已确认","待复核",IF(OR(G28="",K28="",S28="",T28="",U28="",V28="",W28=""),"待系统回填公开ID","可用")))))</x:f>
      </x:c>
    </x:row>
    <x:row r="29" ht="34" customHeight="1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5" t="str">
        <x:f>IF(A29="","",IF(B29="","缺少case_id",IF(OR(H29="",O29=""),"缺少制度或证据原文",IF(X29&lt;&gt;"已确认","待复核",IF(OR(G29="",K29="",S29="",T29="",U29="",V29="",W29=""),"待系统回填公开ID","可用")))))</x:f>
      </x:c>
    </x:row>
    <x:row r="30" ht="34" customHeight="1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5" t="str">
        <x:f>IF(A30="","",IF(B30="","缺少case_id",IF(OR(H30="",O30=""),"缺少制度或证据原文",IF(X30&lt;&gt;"已确认","待复核",IF(OR(G30="",K30="",S30="",T30="",U30="",V30="",W30=""),"待系统回填公开ID","可用")))))</x:f>
      </x:c>
    </x:row>
    <x:row r="31" ht="34" customHeight="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5" t="str">
        <x:f>IF(A31="","",IF(B31="","缺少case_id",IF(OR(H31="",O31=""),"缺少制度或证据原文",IF(X31&lt;&gt;"已确认","待复核",IF(OR(G31="",K31="",S31="",T31="",U31="",V31="",W31=""),"待系统回填公开ID","可用")))))</x:f>
      </x:c>
    </x:row>
    <x:row r="32" ht="34" customHeight="1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5" t="str">
        <x:f>IF(A32="","",IF(B32="","缺少case_id",IF(OR(H32="",O32=""),"缺少制度或证据原文",IF(X32&lt;&gt;"已确认","待复核",IF(OR(G32="",K32="",S32="",T32="",U32="",V32="",W32=""),"待系统回填公开ID","可用")))))</x:f>
      </x:c>
    </x:row>
    <x:row r="33" ht="34" customHeight="1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5" t="str">
        <x:f>IF(A33="","",IF(B33="","缺少case_id",IF(OR(H33="",O33=""),"缺少制度或证据原文",IF(X33&lt;&gt;"已确认","待复核",IF(OR(G33="",K33="",S33="",T33="",U33="",V33="",W33=""),"待系统回填公开ID","可用")))))</x:f>
      </x:c>
    </x:row>
    <x:row r="34" ht="34" customHeight="1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5" t="str">
        <x:f>IF(A34="","",IF(B34="","缺少case_id",IF(OR(H34="",O34=""),"缺少制度或证据原文",IF(X34&lt;&gt;"已确认","待复核",IF(OR(G34="",K34="",S34="",T34="",U34="",V34="",W34=""),"待系统回填公开ID","可用")))))</x:f>
      </x:c>
    </x:row>
    <x:row r="35" ht="34" customHeight="1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5" t="str">
        <x:f>IF(A35="","",IF(B35="","缺少case_id",IF(OR(H35="",O35=""),"缺少制度或证据原文",IF(X35&lt;&gt;"已确认","待复核",IF(OR(G35="",K35="",S35="",T35="",U35="",V35="",W35=""),"待系统回填公开ID","可用")))))</x:f>
      </x:c>
    </x:row>
    <x:row r="36" ht="34" customHeight="1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5" t="str">
        <x:f>IF(A36="","",IF(B36="","缺少case_id",IF(OR(H36="",O36=""),"缺少制度或证据原文",IF(X36&lt;&gt;"已确认","待复核",IF(OR(G36="",K36="",S36="",T36="",U36="",V36="",W36=""),"待系统回填公开ID","可用")))))</x:f>
      </x:c>
    </x:row>
    <x:row r="37" ht="34" customHeight="1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5" t="str">
        <x:f>IF(A37="","",IF(B37="","缺少case_id",IF(OR(H37="",O37=""),"缺少制度或证据原文",IF(X37&lt;&gt;"已确认","待复核",IF(OR(G37="",K37="",S37="",T37="",U37="",V37="",W37=""),"待系统回填公开ID","可用")))))</x:f>
      </x:c>
    </x:row>
    <x:row r="38" ht="34" customHeight="1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5" t="str">
        <x:f>IF(A38="","",IF(B38="","缺少case_id",IF(OR(H38="",O38=""),"缺少制度或证据原文",IF(X38&lt;&gt;"已确认","待复核",IF(OR(G38="",K38="",S38="",T38="",U38="",V38="",W38=""),"待系统回填公开ID","可用")))))</x:f>
      </x:c>
    </x:row>
    <x:row r="39" ht="34" customHeight="1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5" t="str">
        <x:f>IF(A39="","",IF(B39="","缺少case_id",IF(OR(H39="",O39=""),"缺少制度或证据原文",IF(X39&lt;&gt;"已确认","待复核",IF(OR(G39="",K39="",S39="",T39="",U39="",V39="",W39=""),"待系统回填公开ID","可用")))))</x:f>
      </x:c>
    </x:row>
    <x:row r="40" ht="34" customHeight="1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5" t="str">
        <x:f>IF(A40="","",IF(B40="","缺少case_id",IF(OR(H40="",O40=""),"缺少制度或证据原文",IF(X40&lt;&gt;"已确认","待复核",IF(OR(G40="",K40="",S40="",T40="",U40="",V40="",W40=""),"待系统回填公开ID","可用")))))</x:f>
      </x:c>
    </x:row>
    <x:row r="41" ht="34" customHeight="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5" t="str">
        <x:f>IF(A41="","",IF(B41="","缺少case_id",IF(OR(H41="",O41=""),"缺少制度或证据原文",IF(X41&lt;&gt;"已确认","待复核",IF(OR(G41="",K41="",S41="",T41="",U41="",V41="",W41=""),"待系统回填公开ID","可用")))))</x:f>
      </x:c>
    </x:row>
    <x:row r="42" ht="34" customHeight="1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5" t="str">
        <x:f>IF(A42="","",IF(B42="","缺少case_id",IF(OR(H42="",O42=""),"缺少制度或证据原文",IF(X42&lt;&gt;"已确认","待复核",IF(OR(G42="",K42="",S42="",T42="",U42="",V42="",W42=""),"待系统回填公开ID","可用")))))</x:f>
      </x:c>
    </x:row>
    <x:row r="43" ht="34" customHeight="1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5" t="str">
        <x:f>IF(A43="","",IF(B43="","缺少case_id",IF(OR(H43="",O43=""),"缺少制度或证据原文",IF(X43&lt;&gt;"已确认","待复核",IF(OR(G43="",K43="",S43="",T43="",U43="",V43="",W43=""),"待系统回填公开ID","可用")))))</x:f>
      </x:c>
    </x:row>
    <x:row r="44" ht="34" customHeight="1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5" t="str">
        <x:f>IF(A44="","",IF(B44="","缺少case_id",IF(OR(H44="",O44=""),"缺少制度或证据原文",IF(X44&lt;&gt;"已确认","待复核",IF(OR(G44="",K44="",S44="",T44="",U44="",V44="",W44=""),"待系统回填公开ID","可用")))))</x:f>
      </x:c>
    </x:row>
    <x:row r="45" ht="34" customHeight="1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5" t="str">
        <x:f>IF(A45="","",IF(B45="","缺少case_id",IF(OR(H45="",O45=""),"缺少制度或证据原文",IF(X45&lt;&gt;"已确认","待复核",IF(OR(G45="",K45="",S45="",T45="",U45="",V45="",W45=""),"待系统回填公开ID","可用")))))</x:f>
      </x:c>
    </x:row>
    <x:row r="46" ht="34" customHeight="1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5" t="str">
        <x:f>IF(A46="","",IF(B46="","缺少case_id",IF(OR(H46="",O46=""),"缺少制度或证据原文",IF(X46&lt;&gt;"已确认","待复核",IF(OR(G46="",K46="",S46="",T46="",U46="",V46="",W46=""),"待系统回填公开ID","可用")))))</x:f>
      </x:c>
    </x:row>
    <x:row r="47" ht="34" customHeight="1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5" t="str">
        <x:f>IF(A47="","",IF(B47="","缺少case_id",IF(OR(H47="",O47=""),"缺少制度或证据原文",IF(X47&lt;&gt;"已确认","待复核",IF(OR(G47="",K47="",S47="",T47="",U47="",V47="",W47=""),"待系统回填公开ID","可用")))))</x:f>
      </x:c>
    </x:row>
    <x:row r="48" ht="34" customHeight="1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5" t="str">
        <x:f>IF(A48="","",IF(B48="","缺少case_id",IF(OR(H48="",O48=""),"缺少制度或证据原文",IF(X48&lt;&gt;"已确认","待复核",IF(OR(G48="",K48="",S48="",T48="",U48="",V48="",W48=""),"待系统回填公开ID","可用")))))</x:f>
      </x:c>
    </x:row>
    <x:row r="49" ht="34" customHeight="1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5" t="str">
        <x:f>IF(A49="","",IF(B49="","缺少case_id",IF(OR(H49="",O49=""),"缺少制度或证据原文",IF(X49&lt;&gt;"已确认","待复核",IF(OR(G49="",K49="",S49="",T49="",U49="",V49="",W49=""),"待系统回填公开ID","可用")))))</x:f>
      </x:c>
    </x:row>
    <x:row r="50" ht="34" customHeight="1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5" t="str">
        <x:f>IF(A50="","",IF(B50="","缺少case_id",IF(OR(H50="",O50=""),"缺少制度或证据原文",IF(X50&lt;&gt;"已确认","待复核",IF(OR(G50="",K50="",S50="",T50="",U50="",V50="",W50=""),"待系统回填公开ID","可用")))))</x:f>
      </x:c>
    </x:row>
    <x:row r="51" ht="34" customHeight="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5" t="str">
        <x:f>IF(A51="","",IF(B51="","缺少case_id",IF(OR(H51="",O51=""),"缺少制度或证据原文",IF(X51&lt;&gt;"已确认","待复核",IF(OR(G51="",K51="",S51="",T51="",U51="",V51="",W51=""),"待系统回填公开ID","可用")))))</x:f>
      </x:c>
    </x:row>
    <x:row r="52" ht="34" customHeight="1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5" t="str">
        <x:f>IF(A52="","",IF(B52="","缺少case_id",IF(OR(H52="",O52=""),"缺少制度或证据原文",IF(X52&lt;&gt;"已确认","待复核",IF(OR(G52="",K52="",S52="",T52="",U52="",V52="",W52=""),"待系统回填公开ID","可用")))))</x:f>
      </x:c>
    </x:row>
    <x:row r="53" ht="34" customHeight="1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5" t="str">
        <x:f>IF(A53="","",IF(B53="","缺少case_id",IF(OR(H53="",O53=""),"缺少制度或证据原文",IF(X53&lt;&gt;"已确认","待复核",IF(OR(G53="",K53="",S53="",T53="",U53="",V53="",W53=""),"待系统回填公开ID","可用")))))</x:f>
      </x:c>
    </x:row>
    <x:row r="54" ht="34" customHeight="1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5" t="str">
        <x:f>IF(A54="","",IF(B54="","缺少case_id",IF(OR(H54="",O54=""),"缺少制度或证据原文",IF(X54&lt;&gt;"已确认","待复核",IF(OR(G54="",K54="",S54="",T54="",U54="",V54="",W54=""),"待系统回填公开ID","可用")))))</x:f>
      </x:c>
    </x:row>
    <x:row r="55" ht="34" customHeight="1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5" t="str">
        <x:f>IF(A55="","",IF(B55="","缺少case_id",IF(OR(H55="",O55=""),"缺少制度或证据原文",IF(X55&lt;&gt;"已确认","待复核",IF(OR(G55="",K55="",S55="",T55="",U55="",V55="",W55=""),"待系统回填公开ID","可用")))))</x:f>
      </x:c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5" t="str">
        <x:f>IF(A56="","",IF(B56="","缺少case_id",IF(OR(H56="",O56=""),"缺少制度或证据原文",IF(X56&lt;&gt;"已确认","待复核",IF(OR(G56="",K56="",S56="",T56="",U56="",V56="",W56=""),"待系统回填公开ID","可用")))))</x:f>
      </x:c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5" t="str">
        <x:f>IF(A57="","",IF(B57="","缺少case_id",IF(OR(H57="",O57=""),"缺少制度或证据原文",IF(X57&lt;&gt;"已确认","待复核",IF(OR(G57="",K57="",S57="",T57="",U57="",V57="",W57=""),"待系统回填公开ID","可用")))))</x:f>
      </x:c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5" t="str">
        <x:f>IF(A58="","",IF(B58="","缺少case_id",IF(OR(H58="",O58=""),"缺少制度或证据原文",IF(X58&lt;&gt;"已确认","待复核",IF(OR(G58="",K58="",S58="",T58="",U58="",V58="",W58=""),"待系统回填公开ID","可用")))))</x:f>
      </x:c>
    </x:row>
    <x:row r="59" ht="34" customHeight="1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5" t="str">
        <x:f>IF(A59="","",IF(B59="","缺少case_id",IF(OR(H59="",O59=""),"缺少制度或证据原文",IF(X59&lt;&gt;"已确认","待复核",IF(OR(G59="",K59="",S59="",T59="",U59="",V59="",W59=""),"待系统回填公开ID","可用")))))</x:f>
      </x:c>
    </x:row>
    <x:row r="60" ht="34" customHeight="1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5" t="str">
        <x:f>IF(A60="","",IF(B60="","缺少case_id",IF(OR(H60="",O60=""),"缺少制度或证据原文",IF(X60&lt;&gt;"已确认","待复核",IF(OR(G60="",K60="",S60="",T60="",U60="",V60="",W60=""),"待系统回填公开ID","可用")))))</x:f>
      </x:c>
    </x:row>
    <x:row r="61" ht="34" customHeight="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5" t="str">
        <x:f>IF(A61="","",IF(B61="","缺少case_id",IF(OR(H61="",O61=""),"缺少制度或证据原文",IF(X61&lt;&gt;"已确认","待复核",IF(OR(G61="",K61="",S61="",T61="",U61="",V61="",W61=""),"待系统回填公开ID","可用")))))</x:f>
      </x:c>
    </x:row>
    <x:row r="62" ht="34" customHeight="1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5" t="str">
        <x:f>IF(A62="","",IF(B62="","缺少case_id",IF(OR(H62="",O62=""),"缺少制度或证据原文",IF(X62&lt;&gt;"已确认","待复核",IF(OR(G62="",K62="",S62="",T62="",U62="",V62="",W62=""),"待系统回填公开ID","可用")))))</x:f>
      </x:c>
    </x:row>
    <x:row r="63" ht="34" customHeight="1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5" t="str">
        <x:f>IF(A63="","",IF(B63="","缺少case_id",IF(OR(H63="",O63=""),"缺少制度或证据原文",IF(X63&lt;&gt;"已确认","待复核",IF(OR(G63="",K63="",S63="",T63="",U63="",V63="",W63=""),"待系统回填公开ID","可用")))))</x:f>
      </x:c>
    </x:row>
    <x:row r="64" ht="34" customHeight="1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5" t="str">
        <x:f>IF(A64="","",IF(B64="","缺少case_id",IF(OR(H64="",O64=""),"缺少制度或证据原文",IF(X64&lt;&gt;"已确认","待复核",IF(OR(G64="",K64="",S64="",T64="",U64="",V64="",W64=""),"待系统回填公开ID","可用")))))</x:f>
      </x:c>
    </x:row>
    <x:row r="65" ht="34" customHeight="1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5" t="str">
        <x:f>IF(A65="","",IF(B65="","缺少case_id",IF(OR(H65="",O65=""),"缺少制度或证据原文",IF(X65&lt;&gt;"已确认","待复核",IF(OR(G65="",K65="",S65="",T65="",U65="",V65="",W65=""),"待系统回填公开ID","可用")))))</x:f>
      </x:c>
    </x:row>
    <x:row r="66" ht="34" customHeight="1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5" t="str">
        <x:f>IF(A66="","",IF(B66="","缺少case_id",IF(OR(H66="",O66=""),"缺少制度或证据原文",IF(X66&lt;&gt;"已确认","待复核",IF(OR(G66="",K66="",S66="",T66="",U66="",V66="",W66=""),"待系统回填公开ID","可用")))))</x:f>
      </x:c>
    </x:row>
    <x:row r="67" ht="34" customHeight="1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5" t="str">
        <x:f>IF(A67="","",IF(B67="","缺少case_id",IF(OR(H67="",O67=""),"缺少制度或证据原文",IF(X67&lt;&gt;"已确认","待复核",IF(OR(G67="",K67="",S67="",T67="",U67="",V67="",W67=""),"待系统回填公开ID","可用")))))</x:f>
      </x:c>
    </x:row>
    <x:row r="68" ht="34" customHeight="1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5" t="str">
        <x:f>IF(A68="","",IF(B68="","缺少case_id",IF(OR(H68="",O68=""),"缺少制度或证据原文",IF(X68&lt;&gt;"已确认","待复核",IF(OR(G68="",K68="",S68="",T68="",U68="",V68="",W68=""),"待系统回填公开ID","可用")))))</x:f>
      </x:c>
    </x:row>
    <x:row r="69" ht="34" customHeight="1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5" t="str">
        <x:f>IF(A69="","",IF(B69="","缺少case_id",IF(OR(H69="",O69=""),"缺少制度或证据原文",IF(X69&lt;&gt;"已确认","待复核",IF(OR(G69="",K69="",S69="",T69="",U69="",V69="",W69=""),"待系统回填公开ID","可用")))))</x:f>
      </x:c>
    </x:row>
    <x:row r="70" ht="34" customHeight="1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5" t="str">
        <x:f>IF(A70="","",IF(B70="","缺少case_id",IF(OR(H70="",O70=""),"缺少制度或证据原文",IF(X70&lt;&gt;"已确认","待复核",IF(OR(G70="",K70="",S70="",T70="",U70="",V70="",W70=""),"待系统回填公开ID","可用")))))</x:f>
      </x:c>
    </x:row>
    <x:row r="71" ht="34" customHeight="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5" t="str">
        <x:f>IF(A71="","",IF(B71="","缺少case_id",IF(OR(H71="",O71=""),"缺少制度或证据原文",IF(X71&lt;&gt;"已确认","待复核",IF(OR(G71="",K71="",S71="",T71="",U71="",V71="",W71=""),"待系统回填公开ID","可用")))))</x:f>
      </x:c>
    </x:row>
    <x:row r="72" ht="34" customHeight="1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5" t="str">
        <x:f>IF(A72="","",IF(B72="","缺少case_id",IF(OR(H72="",O72=""),"缺少制度或证据原文",IF(X72&lt;&gt;"已确认","待复核",IF(OR(G72="",K72="",S72="",T72="",U72="",V72="",W72=""),"待系统回填公开ID","可用")))))</x:f>
      </x:c>
    </x:row>
    <x:row r="73" ht="34" customHeight="1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5" t="str">
        <x:f>IF(A73="","",IF(B73="","缺少case_id",IF(OR(H73="",O73=""),"缺少制度或证据原文",IF(X73&lt;&gt;"已确认","待复核",IF(OR(G73="",K73="",S73="",T73="",U73="",V73="",W73=""),"待系统回填公开ID","可用")))))</x:f>
      </x:c>
    </x:row>
    <x:row r="74" ht="34" customHeight="1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5" t="str">
        <x:f>IF(A74="","",IF(B74="","缺少case_id",IF(OR(H74="",O74=""),"缺少制度或证据原文",IF(X74&lt;&gt;"已确认","待复核",IF(OR(G74="",K74="",S74="",T74="",U74="",V74="",W74=""),"待系统回填公开ID","可用")))))</x:f>
      </x:c>
    </x:row>
    <x:row r="75" ht="34" customHeight="1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5" t="str">
        <x:f>IF(A75="","",IF(B75="","缺少case_id",IF(OR(H75="",O75=""),"缺少制度或证据原文",IF(X75&lt;&gt;"已确认","待复核",IF(OR(G75="",K75="",S75="",T75="",U75="",V75="",W75=""),"待系统回填公开ID","可用")))))</x:f>
      </x:c>
    </x:row>
    <x:row r="76" ht="34" customHeight="1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5" t="str">
        <x:f>IF(A76="","",IF(B76="","缺少case_id",IF(OR(H76="",O76=""),"缺少制度或证据原文",IF(X76&lt;&gt;"已确认","待复核",IF(OR(G76="",K76="",S76="",T76="",U76="",V76="",W76=""),"待系统回填公开ID","可用")))))</x:f>
      </x:c>
    </x:row>
    <x:row r="77" ht="34" customHeight="1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5" t="str">
        <x:f>IF(A77="","",IF(B77="","缺少case_id",IF(OR(H77="",O77=""),"缺少制度或证据原文",IF(X77&lt;&gt;"已确认","待复核",IF(OR(G77="",K77="",S77="",T77="",U77="",V77="",W77=""),"待系统回填公开ID","可用")))))</x:f>
      </x:c>
    </x:row>
    <x:row r="78" ht="34" customHeight="1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5" t="str">
        <x:f>IF(A78="","",IF(B78="","缺少case_id",IF(OR(H78="",O78=""),"缺少制度或证据原文",IF(X78&lt;&gt;"已确认","待复核",IF(OR(G78="",K78="",S78="",T78="",U78="",V78="",W78=""),"待系统回填公开ID","可用")))))</x:f>
      </x:c>
    </x:row>
    <x:row r="79" ht="34" customHeight="1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5" t="str">
        <x:f>IF(A79="","",IF(B79="","缺少case_id",IF(OR(H79="",O79=""),"缺少制度或证据原文",IF(X79&lt;&gt;"已确认","待复核",IF(OR(G79="",K79="",S79="",T79="",U79="",V79="",W79=""),"待系统回填公开ID","可用")))))</x:f>
      </x:c>
    </x:row>
    <x:row r="80" ht="34" customHeight="1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5" t="str">
        <x:f>IF(A80="","",IF(B80="","缺少case_id",IF(OR(H80="",O80=""),"缺少制度或证据原文",IF(X80&lt;&gt;"已确认","待复核",IF(OR(G80="",K80="",S80="",T80="",U80="",V80="",W80=""),"待系统回填公开ID","可用")))))</x:f>
      </x:c>
    </x:row>
    <x:row r="81" ht="34" customHeight="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5" t="str">
        <x:f>IF(A81="","",IF(B81="","缺少case_id",IF(OR(H81="",O81=""),"缺少制度或证据原文",IF(X81&lt;&gt;"已确认","待复核",IF(OR(G81="",K81="",S81="",T81="",U81="",V81="",W81=""),"待系统回填公开ID","可用")))))</x:f>
      </x:c>
    </x:row>
    <x:row r="82" ht="34" customHeight="1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5" t="str">
        <x:f>IF(A82="","",IF(B82="","缺少case_id",IF(OR(H82="",O82=""),"缺少制度或证据原文",IF(X82&lt;&gt;"已确认","待复核",IF(OR(G82="",K82="",S82="",T82="",U82="",V82="",W82=""),"待系统回填公开ID","可用")))))</x:f>
      </x:c>
    </x:row>
    <x:row r="83" ht="34" customHeight="1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5" t="str">
        <x:f>IF(A83="","",IF(B83="","缺少case_id",IF(OR(H83="",O83=""),"缺少制度或证据原文",IF(X83&lt;&gt;"已确认","待复核",IF(OR(G83="",K83="",S83="",T83="",U83="",V83="",W83=""),"待系统回填公开ID","可用")))))</x:f>
      </x:c>
    </x:row>
    <x:row r="84" ht="34" customHeight="1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5" t="str">
        <x:f>IF(A84="","",IF(B84="","缺少case_id",IF(OR(H84="",O84=""),"缺少制度或证据原文",IF(X84&lt;&gt;"已确认","待复核",IF(OR(G84="",K84="",S84="",T84="",U84="",V84="",W84=""),"待系统回填公开ID","可用")))))</x:f>
      </x:c>
    </x:row>
    <x:row r="85" ht="34" customHeight="1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5" t="str">
        <x:f>IF(A85="","",IF(B85="","缺少case_id",IF(OR(H85="",O85=""),"缺少制度或证据原文",IF(X85&lt;&gt;"已确认","待复核",IF(OR(G85="",K85="",S85="",T85="",U85="",V85="",W85=""),"待系统回填公开ID","可用")))))</x:f>
      </x:c>
    </x:row>
    <x:row r="86" ht="34" customHeight="1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5" t="str">
        <x:f>IF(A86="","",IF(B86="","缺少case_id",IF(OR(H86="",O86=""),"缺少制度或证据原文",IF(X86&lt;&gt;"已确认","待复核",IF(OR(G86="",K86="",S86="",T86="",U86="",V86="",W86=""),"待系统回填公开ID","可用")))))</x:f>
      </x:c>
    </x:row>
    <x:row r="87" ht="34" customHeight="1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5" t="str">
        <x:f>IF(A87="","",IF(B87="","缺少case_id",IF(OR(H87="",O87=""),"缺少制度或证据原文",IF(X87&lt;&gt;"已确认","待复核",IF(OR(G87="",K87="",S87="",T87="",U87="",V87="",W87=""),"待系统回填公开ID","可用")))))</x:f>
      </x:c>
    </x:row>
    <x:row r="88" ht="34" customHeight="1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5" t="str">
        <x:f>IF(A88="","",IF(B88="","缺少case_id",IF(OR(H88="",O88=""),"缺少制度或证据原文",IF(X88&lt;&gt;"已确认","待复核",IF(OR(G88="",K88="",S88="",T88="",U88="",V88="",W88=""),"待系统回填公开ID","可用")))))</x:f>
      </x:c>
    </x:row>
    <x:row r="89" ht="34" customHeight="1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5" t="str">
        <x:f>IF(A89="","",IF(B89="","缺少case_id",IF(OR(H89="",O89=""),"缺少制度或证据原文",IF(X89&lt;&gt;"已确认","待复核",IF(OR(G89="",K89="",S89="",T89="",U89="",V89="",W89=""),"待系统回填公开ID","可用")))))</x:f>
      </x:c>
    </x:row>
    <x:row r="90" ht="34" customHeight="1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5" t="str">
        <x:f>IF(A90="","",IF(B90="","缺少case_id",IF(OR(H90="",O90=""),"缺少制度或证据原文",IF(X90&lt;&gt;"已确认","待复核",IF(OR(G90="",K90="",S90="",T90="",U90="",V90="",W90=""),"待系统回填公开ID","可用")))))</x:f>
      </x:c>
    </x:row>
    <x:row r="91" ht="34" customHeight="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5" t="str">
        <x:f>IF(A91="","",IF(B91="","缺少case_id",IF(OR(H91="",O91=""),"缺少制度或证据原文",IF(X91&lt;&gt;"已确认","待复核",IF(OR(G91="",K91="",S91="",T91="",U91="",V91="",W91=""),"待系统回填公开ID","可用")))))</x:f>
      </x:c>
    </x:row>
    <x:row r="92" ht="34" customHeight="1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5" t="str">
        <x:f>IF(A92="","",IF(B92="","缺少case_id",IF(OR(H92="",O92=""),"缺少制度或证据原文",IF(X92&lt;&gt;"已确认","待复核",IF(OR(G92="",K92="",S92="",T92="",U92="",V92="",W92=""),"待系统回填公开ID","可用")))))</x:f>
      </x:c>
    </x:row>
    <x:row r="93" ht="34" customHeight="1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5" t="str">
        <x:f>IF(A93="","",IF(B93="","缺少case_id",IF(OR(H93="",O93=""),"缺少制度或证据原文",IF(X93&lt;&gt;"已确认","待复核",IF(OR(G93="",K93="",S93="",T93="",U93="",V93="",W93=""),"待系统回填公开ID","可用")))))</x:f>
      </x:c>
    </x:row>
    <x:row r="94" ht="34" customHeight="1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5" t="str">
        <x:f>IF(A94="","",IF(B94="","缺少case_id",IF(OR(H94="",O94=""),"缺少制度或证据原文",IF(X94&lt;&gt;"已确认","待复核",IF(OR(G94="",K94="",S94="",T94="",U94="",V94="",W94=""),"待系统回填公开ID","可用")))))</x:f>
      </x:c>
    </x:row>
    <x:row r="95" ht="34" customHeight="1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5" t="str">
        <x:f>IF(A95="","",IF(B95="","缺少case_id",IF(OR(H95="",O95=""),"缺少制度或证据原文",IF(X95&lt;&gt;"已确认","待复核",IF(OR(G95="",K95="",S95="",T95="",U95="",V95="",W95=""),"待系统回填公开ID","可用")))))</x:f>
      </x:c>
    </x:row>
    <x:row r="96" ht="34" customHeight="1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5" t="str">
        <x:f>IF(A96="","",IF(B96="","缺少case_id",IF(OR(H96="",O96=""),"缺少制度或证据原文",IF(X96&lt;&gt;"已确认","待复核",IF(OR(G96="",K96="",S96="",T96="",U96="",V96="",W96=""),"待系统回填公开ID","可用")))))</x:f>
      </x:c>
    </x:row>
    <x:row r="97" ht="34" customHeight="1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5" t="str">
        <x:f>IF(A97="","",IF(B97="","缺少case_id",IF(OR(H97="",O97=""),"缺少制度或证据原文",IF(X97&lt;&gt;"已确认","待复核",IF(OR(G97="",K97="",S97="",T97="",U97="",V97="",W97=""),"待系统回填公开ID","可用")))))</x:f>
      </x:c>
    </x:row>
    <x:row r="98" ht="34" customHeight="1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5" t="str">
        <x:f>IF(A98="","",IF(B98="","缺少case_id",IF(OR(H98="",O98=""),"缺少制度或证据原文",IF(X98&lt;&gt;"已确认","待复核",IF(OR(G98="",K98="",S98="",T98="",U98="",V98="",W98=""),"待系统回填公开ID","可用")))))</x:f>
      </x:c>
    </x:row>
    <x:row r="99" ht="34" customHeight="1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5" t="str">
        <x:f>IF(A99="","",IF(B99="","缺少case_id",IF(OR(H99="",O99=""),"缺少制度或证据原文",IF(X99&lt;&gt;"已确认","待复核",IF(OR(G99="",K99="",S99="",T99="",U99="",V99="",W99=""),"待系统回填公开ID","可用")))))</x:f>
      </x:c>
    </x:row>
    <x:row r="100" ht="34" customHeight="1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5" t="str">
        <x:f>IF(A100="","",IF(B100="","缺少case_id",IF(OR(H100="",O100=""),"缺少制度或证据原文",IF(X100&lt;&gt;"已确认","待复核",IF(OR(G100="",K100="",S100="",T100="",U100="",V100="",W100=""),"待系统回填公开ID","可用")))))</x:f>
      </x:c>
    </x:row>
    <x:row r="101" ht="34" customHeight="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5" t="str">
        <x:f>IF(A101="","",IF(B101="","缺少case_id",IF(OR(H101="",O101=""),"缺少制度或证据原文",IF(X101&lt;&gt;"已确认","待复核",IF(OR(G101="",K101="",S101="",T101="",U101="",V101="",W101=""),"待系统回填公开ID","可用")))))</x:f>
      </x:c>
    </x:row>
    <x:row r="102" ht="34" customHeight="1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5" t="str">
        <x:f>IF(A102="","",IF(B102="","缺少case_id",IF(OR(H102="",O102=""),"缺少制度或证据原文",IF(X102&lt;&gt;"已确认","待复核",IF(OR(G102="",K102="",S102="",T102="",U102="",V102="",W102=""),"待系统回填公开ID","可用")))))</x:f>
      </x:c>
    </x:row>
    <x:row r="103" ht="34" customHeight="1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5" t="str">
        <x:f>IF(A103="","",IF(B103="","缺少case_id",IF(OR(H103="",O103=""),"缺少制度或证据原文",IF(X103&lt;&gt;"已确认","待复核",IF(OR(G103="",K103="",S103="",T103="",U103="",V103="",W103=""),"待系统回填公开ID","可用")))))</x:f>
      </x:c>
    </x:row>
    <x:row r="104" ht="34" customHeight="1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5" t="str">
        <x:f>IF(A104="","",IF(B104="","缺少case_id",IF(OR(H104="",O104=""),"缺少制度或证据原文",IF(X104&lt;&gt;"已确认","待复核",IF(OR(G104="",K104="",S104="",T104="",U104="",V104="",W104=""),"待系统回填公开ID","可用")))))</x:f>
      </x:c>
    </x:row>
    <x:row r="105" ht="34" customHeight="1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5" t="str">
        <x:f>IF(A105="","",IF(B105="","缺少case_id",IF(OR(H105="",O105=""),"缺少制度或证据原文",IF(X105&lt;&gt;"已确认","待复核",IF(OR(G105="",K105="",S105="",T105="",U105="",V105="",W105=""),"待系统回填公开ID","可用")))))</x:f>
      </x:c>
    </x:row>
    <x:row r="106" ht="34" customHeight="1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5" t="str">
        <x:f>IF(A106="","",IF(B106="","缺少case_id",IF(OR(H106="",O106=""),"缺少制度或证据原文",IF(X106&lt;&gt;"已确认","待复核",IF(OR(G106="",K106="",S106="",T106="",U106="",V106="",W106=""),"待系统回填公开ID","可用")))))</x:f>
      </x:c>
    </x:row>
    <x:row r="107" ht="34" customHeight="1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5" t="str">
        <x:f>IF(A107="","",IF(B107="","缺少case_id",IF(OR(H107="",O107=""),"缺少制度或证据原文",IF(X107&lt;&gt;"已确认","待复核",IF(OR(G107="",K107="",S107="",T107="",U107="",V107="",W107=""),"待系统回填公开ID","可用")))))</x:f>
      </x:c>
    </x:row>
    <x:row r="108" ht="34" customHeight="1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5" t="str">
        <x:f>IF(A108="","",IF(B108="","缺少case_id",IF(OR(H108="",O108=""),"缺少制度或证据原文",IF(X108&lt;&gt;"已确认","待复核",IF(OR(G108="",K108="",S108="",T108="",U108="",V108="",W108=""),"待系统回填公开ID","可用")))))</x:f>
      </x:c>
    </x:row>
    <x:row r="109" ht="34" customHeight="1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5" t="str">
        <x:f>IF(A109="","",IF(B109="","缺少case_id",IF(OR(H109="",O109=""),"缺少制度或证据原文",IF(X109&lt;&gt;"已确认","待复核",IF(OR(G109="",K109="",S109="",T109="",U109="",V109="",W109=""),"待系统回填公开ID","可用")))))</x:f>
      </x:c>
    </x:row>
    <x:row r="110" ht="34" customHeight="1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5" t="str">
        <x:f>IF(A110="","",IF(B110="","缺少case_id",IF(OR(H110="",O110=""),"缺少制度或证据原文",IF(X110&lt;&gt;"已确认","待复核",IF(OR(G110="",K110="",S110="",T110="",U110="",V110="",W110=""),"待系统回填公开ID","可用")))))</x:f>
      </x:c>
    </x:row>
    <x:row r="111" ht="34" customHeight="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5" t="str">
        <x:f>IF(A111="","",IF(B111="","缺少case_id",IF(OR(H111="",O111=""),"缺少制度或证据原文",IF(X111&lt;&gt;"已确认","待复核",IF(OR(G111="",K111="",S111="",T111="",U111="",V111="",W111=""),"待系统回填公开ID","可用")))))</x:f>
      </x:c>
    </x:row>
    <x:row r="112" ht="34" customHeight="1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5" t="str">
        <x:f>IF(A112="","",IF(B112="","缺少case_id",IF(OR(H112="",O112=""),"缺少制度或证据原文",IF(X112&lt;&gt;"已确认","待复核",IF(OR(G112="",K112="",S112="",T112="",U112="",V112="",W112=""),"待系统回填公开ID","可用")))))</x:f>
      </x:c>
    </x:row>
    <x:row r="113" ht="34" customHeight="1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5" t="str">
        <x:f>IF(A113="","",IF(B113="","缺少case_id",IF(OR(H113="",O113=""),"缺少制度或证据原文",IF(X113&lt;&gt;"已确认","待复核",IF(OR(G113="",K113="",S113="",T113="",U113="",V113="",W113=""),"待系统回填公开ID","可用")))))</x:f>
      </x:c>
    </x:row>
    <x:row r="114" ht="34" customHeight="1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5" t="str">
        <x:f>IF(A114="","",IF(B114="","缺少case_id",IF(OR(H114="",O114=""),"缺少制度或证据原文",IF(X114&lt;&gt;"已确认","待复核",IF(OR(G114="",K114="",S114="",T114="",U114="",V114="",W114=""),"待系统回填公开ID","可用")))))</x:f>
      </x:c>
    </x:row>
    <x:row r="115" ht="34" customHeight="1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5" t="str">
        <x:f>IF(A115="","",IF(B115="","缺少case_id",IF(OR(H115="",O115=""),"缺少制度或证据原文",IF(X115&lt;&gt;"已确认","待复核",IF(OR(G115="",K115="",S115="",T115="",U115="",V115="",W115=""),"待系统回填公开ID","可用")))))</x:f>
      </x:c>
    </x:row>
    <x:row r="116" ht="34" customHeight="1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5" t="str">
        <x:f>IF(A116="","",IF(B116="","缺少case_id",IF(OR(H116="",O116=""),"缺少制度或证据原文",IF(X116&lt;&gt;"已确认","待复核",IF(OR(G116="",K116="",S116="",T116="",U116="",V116="",W116=""),"待系统回填公开ID","可用")))))</x:f>
      </x:c>
    </x:row>
    <x:row r="117" ht="34" customHeight="1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5" t="str">
        <x:f>IF(A117="","",IF(B117="","缺少case_id",IF(OR(H117="",O117=""),"缺少制度或证据原文",IF(X117&lt;&gt;"已确认","待复核",IF(OR(G117="",K117="",S117="",T117="",U117="",V117="",W117=""),"待系统回填公开ID","可用")))))</x:f>
      </x:c>
    </x:row>
    <x:row r="118" ht="34" customHeight="1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5" t="str">
        <x:f>IF(A118="","",IF(B118="","缺少case_id",IF(OR(H118="",O118=""),"缺少制度或证据原文",IF(X118&lt;&gt;"已确认","待复核",IF(OR(G118="",K118="",S118="",T118="",U118="",V118="",W118=""),"待系统回填公开ID","可用")))))</x:f>
      </x:c>
    </x:row>
    <x:row r="119" ht="34" customHeight="1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5" t="str">
        <x:f>IF(A119="","",IF(B119="","缺少case_id",IF(OR(H119="",O119=""),"缺少制度或证据原文",IF(X119&lt;&gt;"已确认","待复核",IF(OR(G119="",K119="",S119="",T119="",U119="",V119="",W119=""),"待系统回填公开ID","可用")))))</x:f>
      </x:c>
    </x:row>
    <x:row r="120" ht="34" customHeight="1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5" t="str">
        <x:f>IF(A120="","",IF(B120="","缺少case_id",IF(OR(H120="",O120=""),"缺少制度或证据原文",IF(X120&lt;&gt;"已确认","待复核",IF(OR(G120="",K120="",S120="",T120="",U120="",V120="",W120=""),"待系统回填公开ID","可用")))))</x:f>
      </x:c>
    </x:row>
    <x:row r="121" ht="34" customHeight="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5" t="str">
        <x:f>IF(A121="","",IF(B121="","缺少case_id",IF(OR(H121="",O121=""),"缺少制度或证据原文",IF(X121&lt;&gt;"已确认","待复核",IF(OR(G121="",K121="",S121="",T121="",U121="",V121="",W121=""),"待系统回填公开ID","可用")))))</x:f>
      </x:c>
    </x:row>
    <x:row r="122" ht="34" customHeight="1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5" t="str">
        <x:f>IF(A122="","",IF(B122="","缺少case_id",IF(OR(H122="",O122=""),"缺少制度或证据原文",IF(X122&lt;&gt;"已确认","待复核",IF(OR(G122="",K122="",S122="",T122="",U122="",V122="",W122=""),"待系统回填公开ID","可用")))))</x:f>
      </x:c>
    </x:row>
    <x:row r="123" ht="34" customHeight="1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5" t="str">
        <x:f>IF(A123="","",IF(B123="","缺少case_id",IF(OR(H123="",O123=""),"缺少制度或证据原文",IF(X123&lt;&gt;"已确认","待复核",IF(OR(G123="",K123="",S123="",T123="",U123="",V123="",W123=""),"待系统回填公开ID","可用")))))</x:f>
      </x:c>
    </x:row>
    <x:row r="124" ht="34" customHeight="1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5" t="str">
        <x:f>IF(A124="","",IF(B124="","缺少case_id",IF(OR(H124="",O124=""),"缺少制度或证据原文",IF(X124&lt;&gt;"已确认","待复核",IF(OR(G124="",K124="",S124="",T124="",U124="",V124="",W124=""),"待系统回填公开ID","可用")))))</x:f>
      </x:c>
    </x:row>
    <x:row r="125" ht="34" customHeight="1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5" t="str">
        <x:f>IF(A125="","",IF(B125="","缺少case_id",IF(OR(H125="",O125=""),"缺少制度或证据原文",IF(X125&lt;&gt;"已确认","待复核",IF(OR(G125="",K125="",S125="",T125="",U125="",V125="",W125=""),"待系统回填公开ID","可用")))))</x:f>
      </x:c>
    </x:row>
    <x:row r="126" ht="34" customHeight="1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5" t="str">
        <x:f>IF(A126="","",IF(B126="","缺少case_id",IF(OR(H126="",O126=""),"缺少制度或证据原文",IF(X126&lt;&gt;"已确认","待复核",IF(OR(G126="",K126="",S126="",T126="",U126="",V126="",W126=""),"待系统回填公开ID","可用")))))</x:f>
      </x:c>
    </x:row>
    <x:row r="127" ht="34" customHeight="1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5" t="str">
        <x:f>IF(A127="","",IF(B127="","缺少case_id",IF(OR(H127="",O127=""),"缺少制度或证据原文",IF(X127&lt;&gt;"已确认","待复核",IF(OR(G127="",K127="",S127="",T127="",U127="",V127="",W127=""),"待系统回填公开ID","可用")))))</x:f>
      </x:c>
    </x:row>
    <x:row r="128" ht="34" customHeight="1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5" t="str">
        <x:f>IF(A128="","",IF(B128="","缺少case_id",IF(OR(H128="",O128=""),"缺少制度或证据原文",IF(X128&lt;&gt;"已确认","待复核",IF(OR(G128="",K128="",S128="",T128="",U128="",V128="",W128=""),"待系统回填公开ID","可用")))))</x:f>
      </x:c>
    </x:row>
    <x:row r="129" ht="34" customHeight="1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5" t="str">
        <x:f>IF(A129="","",IF(B129="","缺少case_id",IF(OR(H129="",O129=""),"缺少制度或证据原文",IF(X129&lt;&gt;"已确认","待复核",IF(OR(G129="",K129="",S129="",T129="",U129="",V129="",W129=""),"待系统回填公开ID","可用")))))</x:f>
      </x:c>
    </x:row>
    <x:row r="130" ht="34" customHeight="1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5" t="str">
        <x:f>IF(A130="","",IF(B130="","缺少case_id",IF(OR(H130="",O130=""),"缺少制度或证据原文",IF(X130&lt;&gt;"已确认","待复核",IF(OR(G130="",K130="",S130="",T130="",U130="",V130="",W130=""),"待系统回填公开ID","可用")))))</x:f>
      </x:c>
    </x:row>
    <x:row r="131" ht="34" customHeight="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5" t="str">
        <x:f>IF(A131="","",IF(B131="","缺少case_id",IF(OR(H131="",O131=""),"缺少制度或证据原文",IF(X131&lt;&gt;"已确认","待复核",IF(OR(G131="",K131="",S131="",T131="",U131="",V131="",W131=""),"待系统回填公开ID","可用")))))</x:f>
      </x:c>
    </x:row>
    <x:row r="132" ht="34" customHeight="1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5" t="str">
        <x:f>IF(A132="","",IF(B132="","缺少case_id",IF(OR(H132="",O132=""),"缺少制度或证据原文",IF(X132&lt;&gt;"已确认","待复核",IF(OR(G132="",K132="",S132="",T132="",U132="",V132="",W132=""),"待系统回填公开ID","可用")))))</x:f>
      </x:c>
    </x:row>
    <x:row r="133" ht="34" customHeight="1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5" t="str">
        <x:f>IF(A133="","",IF(B133="","缺少case_id",IF(OR(H133="",O133=""),"缺少制度或证据原文",IF(X133&lt;&gt;"已确认","待复核",IF(OR(G133="",K133="",S133="",T133="",U133="",V133="",W133=""),"待系统回填公开ID","可用")))))</x:f>
      </x:c>
    </x:row>
    <x:row r="134" ht="34" customHeight="1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5" t="str">
        <x:f>IF(A134="","",IF(B134="","缺少case_id",IF(OR(H134="",O134=""),"缺少制度或证据原文",IF(X134&lt;&gt;"已确认","待复核",IF(OR(G134="",K134="",S134="",T134="",U134="",V134="",W134=""),"待系统回填公开ID","可用")))))</x:f>
      </x:c>
    </x:row>
    <x:row r="135" ht="34" customHeight="1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5" t="str">
        <x:f>IF(A135="","",IF(B135="","缺少case_id",IF(OR(H135="",O135=""),"缺少制度或证据原文",IF(X135&lt;&gt;"已确认","待复核",IF(OR(G135="",K135="",S135="",T135="",U135="",V135="",W135=""),"待系统回填公开ID","可用")))))</x:f>
      </x:c>
    </x:row>
    <x:row r="136" ht="34" customHeight="1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5" t="str">
        <x:f>IF(A136="","",IF(B136="","缺少case_id",IF(OR(H136="",O136=""),"缺少制度或证据原文",IF(X136&lt;&gt;"已确认","待复核",IF(OR(G136="",K136="",S136="",T136="",U136="",V136="",W136=""),"待系统回填公开ID","可用")))))</x:f>
      </x:c>
    </x:row>
    <x:row r="137" ht="34" customHeight="1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5" t="str">
        <x:f>IF(A137="","",IF(B137="","缺少case_id",IF(OR(H137="",O137=""),"缺少制度或证据原文",IF(X137&lt;&gt;"已确认","待复核",IF(OR(G137="",K137="",S137="",T137="",U137="",V137="",W137=""),"待系统回填公开ID","可用")))))</x:f>
      </x:c>
    </x:row>
    <x:row r="138" ht="34" customHeight="1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5" t="str">
        <x:f>IF(A138="","",IF(B138="","缺少case_id",IF(OR(H138="",O138=""),"缺少制度或证据原文",IF(X138&lt;&gt;"已确认","待复核",IF(OR(G138="",K138="",S138="",T138="",U138="",V138="",W138=""),"待系统回填公开ID","可用")))))</x:f>
      </x:c>
    </x:row>
    <x:row r="139" ht="34" customHeight="1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5" t="str">
        <x:f>IF(A139="","",IF(B139="","缺少case_id",IF(OR(H139="",O139=""),"缺少制度或证据原文",IF(X139&lt;&gt;"已确认","待复核",IF(OR(G139="",K139="",S139="",T139="",U139="",V139="",W139=""),"待系统回填公开ID","可用")))))</x:f>
      </x:c>
    </x:row>
    <x:row r="140" ht="34" customHeight="1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5" t="str">
        <x:f>IF(A140="","",IF(B140="","缺少case_id",IF(OR(H140="",O140=""),"缺少制度或证据原文",IF(X140&lt;&gt;"已确认","待复核",IF(OR(G140="",K140="",S140="",T140="",U140="",V140="",W140=""),"待系统回填公开ID","可用")))))</x:f>
      </x:c>
    </x:row>
    <x:row r="141" ht="34" customHeight="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5" t="str">
        <x:f>IF(A141="","",IF(B141="","缺少case_id",IF(OR(H141="",O141=""),"缺少制度或证据原文",IF(X141&lt;&gt;"已确认","待复核",IF(OR(G141="",K141="",S141="",T141="",U141="",V141="",W141=""),"待系统回填公开ID","可用")))))</x:f>
      </x:c>
    </x:row>
    <x:row r="142" ht="34" customHeight="1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5" t="str">
        <x:f>IF(A142="","",IF(B142="","缺少case_id",IF(OR(H142="",O142=""),"缺少制度或证据原文",IF(X142&lt;&gt;"已确认","待复核",IF(OR(G142="",K142="",S142="",T142="",U142="",V142="",W142=""),"待系统回填公开ID","可用")))))</x:f>
      </x:c>
    </x:row>
    <x:row r="143" ht="34" customHeight="1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5" t="str">
        <x:f>IF(A143="","",IF(B143="","缺少case_id",IF(OR(H143="",O143=""),"缺少制度或证据原文",IF(X143&lt;&gt;"已确认","待复核",IF(OR(G143="",K143="",S143="",T143="",U143="",V143="",W143=""),"待系统回填公开ID","可用")))))</x:f>
      </x:c>
    </x:row>
    <x:row r="144" ht="34" customHeight="1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5" t="str">
        <x:f>IF(A144="","",IF(B144="","缺少case_id",IF(OR(H144="",O144=""),"缺少制度或证据原文",IF(X144&lt;&gt;"已确认","待复核",IF(OR(G144="",K144="",S144="",T144="",U144="",V144="",W144=""),"待系统回填公开ID","可用")))))</x:f>
      </x:c>
    </x:row>
    <x:row r="145" ht="34" customHeight="1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5" t="str">
        <x:f>IF(A145="","",IF(B145="","缺少case_id",IF(OR(H145="",O145=""),"缺少制度或证据原文",IF(X145&lt;&gt;"已确认","待复核",IF(OR(G145="",K145="",S145="",T145="",U145="",V145="",W145=""),"待系统回填公开ID","可用")))))</x:f>
      </x:c>
    </x:row>
    <x:row r="146" ht="34" customHeight="1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5" t="str">
        <x:f>IF(A146="","",IF(B146="","缺少case_id",IF(OR(H146="",O146=""),"缺少制度或证据原文",IF(X146&lt;&gt;"已确认","待复核",IF(OR(G146="",K146="",S146="",T146="",U146="",V146="",W146=""),"待系统回填公开ID","可用")))))</x:f>
      </x:c>
    </x:row>
    <x:row r="147" ht="34" customHeight="1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5" t="str">
        <x:f>IF(A147="","",IF(B147="","缺少case_id",IF(OR(H147="",O147=""),"缺少制度或证据原文",IF(X147&lt;&gt;"已确认","待复核",IF(OR(G147="",K147="",S147="",T147="",U147="",V147="",W147=""),"待系统回填公开ID","可用")))))</x:f>
      </x:c>
    </x:row>
    <x:row r="148" ht="34" customHeight="1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5" t="str">
        <x:f>IF(A148="","",IF(B148="","缺少case_id",IF(OR(H148="",O148=""),"缺少制度或证据原文",IF(X148&lt;&gt;"已确认","待复核",IF(OR(G148="",K148="",S148="",T148="",U148="",V148="",W148=""),"待系统回填公开ID","可用")))))</x:f>
      </x:c>
    </x:row>
    <x:row r="149" ht="34" customHeight="1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5" t="str">
        <x:f>IF(A149="","",IF(B149="","缺少case_id",IF(OR(H149="",O149=""),"缺少制度或证据原文",IF(X149&lt;&gt;"已确认","待复核",IF(OR(G149="",K149="",S149="",T149="",U149="",V149="",W149=""),"待系统回填公开ID","可用")))))</x:f>
      </x:c>
    </x:row>
    <x:row r="150" ht="34" customHeight="1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5" t="str">
        <x:f>IF(A150="","",IF(B150="","缺少case_id",IF(OR(H150="",O150=""),"缺少制度或证据原文",IF(X150&lt;&gt;"已确认","待复核",IF(OR(G150="",K150="",S150="",T150="",U150="",V150="",W150=""),"待系统回填公开ID","可用")))))</x:f>
      </x:c>
    </x:row>
    <x:row r="151" ht="34" customHeight="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5" t="str">
        <x:f>IF(A151="","",IF(B151="","缺少case_id",IF(OR(H151="",O151=""),"缺少制度或证据原文",IF(X151&lt;&gt;"已确认","待复核",IF(OR(G151="",K151="",S151="",T151="",U151="",V151="",W151=""),"待系统回填公开ID","可用")))))</x:f>
      </x:c>
    </x:row>
    <x:row r="152" ht="34" customHeight="1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5" t="str">
        <x:f>IF(A152="","",IF(B152="","缺少case_id",IF(OR(H152="",O152=""),"缺少制度或证据原文",IF(X152&lt;&gt;"已确认","待复核",IF(OR(G152="",K152="",S152="",T152="",U152="",V152="",W152=""),"待系统回填公开ID","可用")))))</x:f>
      </x:c>
    </x:row>
    <x:row r="153" ht="34" customHeight="1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5" t="str">
        <x:f>IF(A153="","",IF(B153="","缺少case_id",IF(OR(H153="",O153=""),"缺少制度或证据原文",IF(X153&lt;&gt;"已确认","待复核",IF(OR(G153="",K153="",S153="",T153="",U153="",V153="",W153=""),"待系统回填公开ID","可用")))))</x:f>
      </x:c>
    </x:row>
    <x:row r="154" ht="34" customHeight="1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5" t="str">
        <x:f>IF(A154="","",IF(B154="","缺少case_id",IF(OR(H154="",O154=""),"缺少制度或证据原文",IF(X154&lt;&gt;"已确认","待复核",IF(OR(G154="",K154="",S154="",T154="",U154="",V154="",W154=""),"待系统回填公开ID","可用")))))</x:f>
      </x:c>
    </x:row>
    <x:row r="155" ht="34" customHeight="1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5" t="str">
        <x:f>IF(A155="","",IF(B155="","缺少case_id",IF(OR(H155="",O155=""),"缺少制度或证据原文",IF(X155&lt;&gt;"已确认","待复核",IF(OR(G155="",K155="",S155="",T155="",U155="",V155="",W155=""),"待系统回填公开ID","可用")))))</x:f>
      </x:c>
    </x:row>
    <x:row r="156" ht="34" customHeight="1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5" t="str">
        <x:f>IF(A156="","",IF(B156="","缺少case_id",IF(OR(H156="",O156=""),"缺少制度或证据原文",IF(X156&lt;&gt;"已确认","待复核",IF(OR(G156="",K156="",S156="",T156="",U156="",V156="",W156=""),"待系统回填公开ID","可用")))))</x:f>
      </x:c>
    </x:row>
    <x:row r="157" ht="34" customHeight="1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5" t="str">
        <x:f>IF(A157="","",IF(B157="","缺少case_id",IF(OR(H157="",O157=""),"缺少制度或证据原文",IF(X157&lt;&gt;"已确认","待复核",IF(OR(G157="",K157="",S157="",T157="",U157="",V157="",W157=""),"待系统回填公开ID","可用")))))</x:f>
      </x:c>
    </x:row>
    <x:row r="158" ht="34" customHeight="1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5" t="str">
        <x:f>IF(A158="","",IF(B158="","缺少case_id",IF(OR(H158="",O158=""),"缺少制度或证据原文",IF(X158&lt;&gt;"已确认","待复核",IF(OR(G158="",K158="",S158="",T158="",U158="",V158="",W158=""),"待系统回填公开ID","可用")))))</x:f>
      </x:c>
    </x:row>
    <x:row r="159" ht="34" customHeight="1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5" t="str">
        <x:f>IF(A159="","",IF(B159="","缺少case_id",IF(OR(H159="",O159=""),"缺少制度或证据原文",IF(X159&lt;&gt;"已确认","待复核",IF(OR(G159="",K159="",S159="",T159="",U159="",V159="",W159=""),"待系统回填公开ID","可用")))))</x:f>
      </x:c>
    </x:row>
    <x:row r="160" ht="34" customHeight="1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5" t="str">
        <x:f>IF(A160="","",IF(B160="","缺少case_id",IF(OR(H160="",O160=""),"缺少制度或证据原文",IF(X160&lt;&gt;"已确认","待复核",IF(OR(G160="",K160="",S160="",T160="",U160="",V160="",W160=""),"待系统回填公开ID","可用")))))</x:f>
      </x:c>
    </x:row>
    <x:row r="161" ht="34" customHeight="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5" t="str">
        <x:f>IF(A161="","",IF(B161="","缺少case_id",IF(OR(H161="",O161=""),"缺少制度或证据原文",IF(X161&lt;&gt;"已确认","待复核",IF(OR(G161="",K161="",S161="",T161="",U161="",V161="",W161=""),"待系统回填公开ID","可用")))))</x:f>
      </x:c>
    </x:row>
    <x:row r="162" ht="34" customHeight="1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5" t="str">
        <x:f>IF(A162="","",IF(B162="","缺少case_id",IF(OR(H162="",O162=""),"缺少制度或证据原文",IF(X162&lt;&gt;"已确认","待复核",IF(OR(G162="",K162="",S162="",T162="",U162="",V162="",W162=""),"待系统回填公开ID","可用")))))</x:f>
      </x:c>
    </x:row>
    <x:row r="163" ht="34" customHeight="1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5" t="str">
        <x:f>IF(A163="","",IF(B163="","缺少case_id",IF(OR(H163="",O163=""),"缺少制度或证据原文",IF(X163&lt;&gt;"已确认","待复核",IF(OR(G163="",K163="",S163="",T163="",U163="",V163="",W163=""),"待系统回填公开ID","可用")))))</x:f>
      </x:c>
    </x:row>
    <x:row r="164" ht="34" customHeight="1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5" t="str">
        <x:f>IF(A164="","",IF(B164="","缺少case_id",IF(OR(H164="",O164=""),"缺少制度或证据原文",IF(X164&lt;&gt;"已确认","待复核",IF(OR(G164="",K164="",S164="",T164="",U164="",V164="",W164=""),"待系统回填公开ID","可用")))))</x:f>
      </x:c>
    </x:row>
    <x:row r="165" ht="34" customHeight="1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5" t="str">
        <x:f>IF(A165="","",IF(B165="","缺少case_id",IF(OR(H165="",O165=""),"缺少制度或证据原文",IF(X165&lt;&gt;"已确认","待复核",IF(OR(G165="",K165="",S165="",T165="",U165="",V165="",W165=""),"待系统回填公开ID","可用")))))</x:f>
      </x:c>
    </x:row>
    <x:row r="166" ht="34" customHeight="1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5" t="str">
        <x:f>IF(A166="","",IF(B166="","缺少case_id",IF(OR(H166="",O166=""),"缺少制度或证据原文",IF(X166&lt;&gt;"已确认","待复核",IF(OR(G166="",K166="",S166="",T166="",U166="",V166="",W166=""),"待系统回填公开ID","可用")))))</x:f>
      </x:c>
    </x:row>
    <x:row r="167" ht="34" customHeight="1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5" t="str">
        <x:f>IF(A167="","",IF(B167="","缺少case_id",IF(OR(H167="",O167=""),"缺少制度或证据原文",IF(X167&lt;&gt;"已确认","待复核",IF(OR(G167="",K167="",S167="",T167="",U167="",V167="",W167=""),"待系统回填公开ID","可用")))))</x:f>
      </x:c>
    </x:row>
    <x:row r="168" ht="34" customHeight="1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5" t="str">
        <x:f>IF(A168="","",IF(B168="","缺少case_id",IF(OR(H168="",O168=""),"缺少制度或证据原文",IF(X168&lt;&gt;"已确认","待复核",IF(OR(G168="",K168="",S168="",T168="",U168="",V168="",W168=""),"待系统回填公开ID","可用")))))</x:f>
      </x:c>
    </x:row>
    <x:row r="169" ht="34" customHeight="1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5" t="str">
        <x:f>IF(A169="","",IF(B169="","缺少case_id",IF(OR(H169="",O169=""),"缺少制度或证据原文",IF(X169&lt;&gt;"已确认","待复核",IF(OR(G169="",K169="",S169="",T169="",U169="",V169="",W169=""),"待系统回填公开ID","可用")))))</x:f>
      </x:c>
    </x:row>
    <x:row r="170" ht="34" customHeight="1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5" t="str">
        <x:f>IF(A170="","",IF(B170="","缺少case_id",IF(OR(H170="",O170=""),"缺少制度或证据原文",IF(X170&lt;&gt;"已确认","待复核",IF(OR(G170="",K170="",S170="",T170="",U170="",V170="",W170=""),"待系统回填公开ID","可用")))))</x:f>
      </x:c>
    </x:row>
    <x:row r="171" ht="34" customHeight="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5" t="str">
        <x:f>IF(A171="","",IF(B171="","缺少case_id",IF(OR(H171="",O171=""),"缺少制度或证据原文",IF(X171&lt;&gt;"已确认","待复核",IF(OR(G171="",K171="",S171="",T171="",U171="",V171="",W171=""),"待系统回填公开ID","可用")))))</x:f>
      </x:c>
    </x:row>
    <x:row r="172" ht="34" customHeight="1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5" t="str">
        <x:f>IF(A172="","",IF(B172="","缺少case_id",IF(OR(H172="",O172=""),"缺少制度或证据原文",IF(X172&lt;&gt;"已确认","待复核",IF(OR(G172="",K172="",S172="",T172="",U172="",V172="",W172=""),"待系统回填公开ID","可用")))))</x:f>
      </x:c>
    </x:row>
    <x:row r="173" ht="34" customHeight="1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5" t="str">
        <x:f>IF(A173="","",IF(B173="","缺少case_id",IF(OR(H173="",O173=""),"缺少制度或证据原文",IF(X173&lt;&gt;"已确认","待复核",IF(OR(G173="",K173="",S173="",T173="",U173="",V173="",W173=""),"待系统回填公开ID","可用")))))</x:f>
      </x:c>
    </x:row>
    <x:row r="174" ht="34" customHeight="1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5" t="str">
        <x:f>IF(A174="","",IF(B174="","缺少case_id",IF(OR(H174="",O174=""),"缺少制度或证据原文",IF(X174&lt;&gt;"已确认","待复核",IF(OR(G174="",K174="",S174="",T174="",U174="",V174="",W174=""),"待系统回填公开ID","可用")))))</x:f>
      </x:c>
    </x:row>
    <x:row r="175" ht="34" customHeight="1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5" t="str">
        <x:f>IF(A175="","",IF(B175="","缺少case_id",IF(OR(H175="",O175=""),"缺少制度或证据原文",IF(X175&lt;&gt;"已确认","待复核",IF(OR(G175="",K175="",S175="",T175="",U175="",V175="",W175=""),"待系统回填公开ID","可用")))))</x:f>
      </x:c>
    </x:row>
    <x:row r="176" ht="34" customHeight="1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5" t="str">
        <x:f>IF(A176="","",IF(B176="","缺少case_id",IF(OR(H176="",O176=""),"缺少制度或证据原文",IF(X176&lt;&gt;"已确认","待复核",IF(OR(G176="",K176="",S176="",T176="",U176="",V176="",W176=""),"待系统回填公开ID","可用")))))</x:f>
      </x:c>
    </x:row>
    <x:row r="177" ht="34" customHeight="1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5" t="str">
        <x:f>IF(A177="","",IF(B177="","缺少case_id",IF(OR(H177="",O177=""),"缺少制度或证据原文",IF(X177&lt;&gt;"已确认","待复核",IF(OR(G177="",K177="",S177="",T177="",U177="",V177="",W177=""),"待系统回填公开ID","可用")))))</x:f>
      </x:c>
    </x:row>
    <x:row r="178" ht="34" customHeight="1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5" t="str">
        <x:f>IF(A178="","",IF(B178="","缺少case_id",IF(OR(H178="",O178=""),"缺少制度或证据原文",IF(X178&lt;&gt;"已确认","待复核",IF(OR(G178="",K178="",S178="",T178="",U178="",V178="",W178=""),"待系统回填公开ID","可用")))))</x:f>
      </x:c>
    </x:row>
    <x:row r="179" ht="34" customHeight="1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5" t="str">
        <x:f>IF(A179="","",IF(B179="","缺少case_id",IF(OR(H179="",O179=""),"缺少制度或证据原文",IF(X179&lt;&gt;"已确认","待复核",IF(OR(G179="",K179="",S179="",T179="",U179="",V179="",W179=""),"待系统回填公开ID","可用")))))</x:f>
      </x:c>
    </x:row>
    <x:row r="180" ht="34" customHeight="1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5" t="str">
        <x:f>IF(A180="","",IF(B180="","缺少case_id",IF(OR(H180="",O180=""),"缺少制度或证据原文",IF(X180&lt;&gt;"已确认","待复核",IF(OR(G180="",K180="",S180="",T180="",U180="",V180="",W180=""),"待系统回填公开ID","可用")))))</x:f>
      </x:c>
    </x:row>
    <x:row r="181" ht="34" customHeight="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5" t="str">
        <x:f>IF(A181="","",IF(B181="","缺少case_id",IF(OR(H181="",O181=""),"缺少制度或证据原文",IF(X181&lt;&gt;"已确认","待复核",IF(OR(G181="",K181="",S181="",T181="",U181="",V181="",W181=""),"待系统回填公开ID","可用")))))</x:f>
      </x:c>
    </x:row>
    <x:row r="182" ht="34" customHeight="1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5" t="str">
        <x:f>IF(A182="","",IF(B182="","缺少case_id",IF(OR(H182="",O182=""),"缺少制度或证据原文",IF(X182&lt;&gt;"已确认","待复核",IF(OR(G182="",K182="",S182="",T182="",U182="",V182="",W182=""),"待系统回填公开ID","可用")))))</x:f>
      </x:c>
    </x:row>
    <x:row r="183" ht="34" customHeight="1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5" t="str">
        <x:f>IF(A183="","",IF(B183="","缺少case_id",IF(OR(H183="",O183=""),"缺少制度或证据原文",IF(X183&lt;&gt;"已确认","待复核",IF(OR(G183="",K183="",S183="",T183="",U183="",V183="",W183=""),"待系统回填公开ID","可用")))))</x:f>
      </x:c>
    </x:row>
    <x:row r="184" ht="34" customHeight="1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5" t="str">
        <x:f>IF(A184="","",IF(B184="","缺少case_id",IF(OR(H184="",O184=""),"缺少制度或证据原文",IF(X184&lt;&gt;"已确认","待复核",IF(OR(G184="",K184="",S184="",T184="",U184="",V184="",W184=""),"待系统回填公开ID","可用")))))</x:f>
      </x:c>
    </x:row>
    <x:row r="185" ht="34" customHeight="1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5" t="str">
        <x:f>IF(A185="","",IF(B185="","缺少case_id",IF(OR(H185="",O185=""),"缺少制度或证据原文",IF(X185&lt;&gt;"已确认","待复核",IF(OR(G185="",K185="",S185="",T185="",U185="",V185="",W185=""),"待系统回填公开ID","可用")))))</x:f>
      </x:c>
    </x:row>
    <x:row r="186" ht="34" customHeight="1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5" t="str">
        <x:f>IF(A186="","",IF(B186="","缺少case_id",IF(OR(H186="",O186=""),"缺少制度或证据原文",IF(X186&lt;&gt;"已确认","待复核",IF(OR(G186="",K186="",S186="",T186="",U186="",V186="",W186=""),"待系统回填公开ID","可用")))))</x:f>
      </x:c>
    </x:row>
    <x:row r="187" ht="34" customHeight="1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5" t="str">
        <x:f>IF(A187="","",IF(B187="","缺少case_id",IF(OR(H187="",O187=""),"缺少制度或证据原文",IF(X187&lt;&gt;"已确认","待复核",IF(OR(G187="",K187="",S187="",T187="",U187="",V187="",W187=""),"待系统回填公开ID","可用")))))</x:f>
      </x:c>
    </x:row>
    <x:row r="188" ht="34" customHeight="1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5" t="str">
        <x:f>IF(A188="","",IF(B188="","缺少case_id",IF(OR(H188="",O188=""),"缺少制度或证据原文",IF(X188&lt;&gt;"已确认","待复核",IF(OR(G188="",K188="",S188="",T188="",U188="",V188="",W188=""),"待系统回填公开ID","可用")))))</x:f>
      </x:c>
    </x:row>
    <x:row r="189" ht="34" customHeight="1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5" t="str">
        <x:f>IF(A189="","",IF(B189="","缺少case_id",IF(OR(H189="",O189=""),"缺少制度或证据原文",IF(X189&lt;&gt;"已确认","待复核",IF(OR(G189="",K189="",S189="",T189="",U189="",V189="",W189=""),"待系统回填公开ID","可用")))))</x:f>
      </x:c>
    </x:row>
    <x:row r="190" ht="34" customHeight="1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5" t="str">
        <x:f>IF(A190="","",IF(B190="","缺少case_id",IF(OR(H190="",O190=""),"缺少制度或证据原文",IF(X190&lt;&gt;"已确认","待复核",IF(OR(G190="",K190="",S190="",T190="",U190="",V190="",W190=""),"待系统回填公开ID","可用")))))</x:f>
      </x:c>
    </x:row>
    <x:row r="191" ht="34" customHeight="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5" t="str">
        <x:f>IF(A191="","",IF(B191="","缺少case_id",IF(OR(H191="",O191=""),"缺少制度或证据原文",IF(X191&lt;&gt;"已确认","待复核",IF(OR(G191="",K191="",S191="",T191="",U191="",V191="",W191=""),"待系统回填公开ID","可用")))))</x:f>
      </x:c>
    </x:row>
    <x:row r="192" ht="34" customHeight="1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5" t="str">
        <x:f>IF(A192="","",IF(B192="","缺少case_id",IF(OR(H192="",O192=""),"缺少制度或证据原文",IF(X192&lt;&gt;"已确认","待复核",IF(OR(G192="",K192="",S192="",T192="",U192="",V192="",W192=""),"待系统回填公开ID","可用")))))</x:f>
      </x:c>
    </x:row>
    <x:row r="193" ht="34" customHeight="1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5" t="str">
        <x:f>IF(A193="","",IF(B193="","缺少case_id",IF(OR(H193="",O193=""),"缺少制度或证据原文",IF(X193&lt;&gt;"已确认","待复核",IF(OR(G193="",K193="",S193="",T193="",U193="",V193="",W193=""),"待系统回填公开ID","可用")))))</x:f>
      </x:c>
    </x:row>
    <x:row r="194" ht="34" customHeight="1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5" t="str">
        <x:f>IF(A194="","",IF(B194="","缺少case_id",IF(OR(H194="",O194=""),"缺少制度或证据原文",IF(X194&lt;&gt;"已确认","待复核",IF(OR(G194="",K194="",S194="",T194="",U194="",V194="",W194=""),"待系统回填公开ID","可用")))))</x:f>
      </x:c>
    </x:row>
    <x:row r="195" ht="34" customHeight="1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5" t="str">
        <x:f>IF(A195="","",IF(B195="","缺少case_id",IF(OR(H195="",O195=""),"缺少制度或证据原文",IF(X195&lt;&gt;"已确认","待复核",IF(OR(G195="",K195="",S195="",T195="",U195="",V195="",W195=""),"待系统回填公开ID","可用")))))</x:f>
      </x:c>
    </x:row>
    <x:row r="196" ht="34" customHeight="1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5" t="str">
        <x:f>IF(A196="","",IF(B196="","缺少case_id",IF(OR(H196="",O196=""),"缺少制度或证据原文",IF(X196&lt;&gt;"已确认","待复核",IF(OR(G196="",K196="",S196="",T196="",U196="",V196="",W196=""),"待系统回填公开ID","可用")))))</x:f>
      </x:c>
    </x:row>
    <x:row r="197" ht="34" customHeight="1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5" t="str">
        <x:f>IF(A197="","",IF(B197="","缺少case_id",IF(OR(H197="",O197=""),"缺少制度或证据原文",IF(X197&lt;&gt;"已确认","待复核",IF(OR(G197="",K197="",S197="",T197="",U197="",V197="",W197=""),"待系统回填公开ID","可用")))))</x:f>
      </x:c>
    </x:row>
    <x:row r="198" ht="34" customHeight="1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5" t="str">
        <x:f>IF(A198="","",IF(B198="","缺少case_id",IF(OR(H198="",O198=""),"缺少制度或证据原文",IF(X198&lt;&gt;"已确认","待复核",IF(OR(G198="",K198="",S198="",T198="",U198="",V198="",W198=""),"待系统回填公开ID","可用")))))</x:f>
      </x:c>
    </x:row>
    <x:row r="199" ht="34" customHeight="1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5" t="str">
        <x:f>IF(A199="","",IF(B199="","缺少case_id",IF(OR(H199="",O199=""),"缺少制度或证据原文",IF(X199&lt;&gt;"已确认","待复核",IF(OR(G199="",K199="",S199="",T199="",U199="",V199="",W199=""),"待系统回填公开ID","可用")))))</x:f>
      </x:c>
    </x:row>
    <x:row r="200" ht="34" customHeight="1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5" t="str">
        <x:f>IF(A200="","",IF(B200="","缺少case_id",IF(OR(H200="",O200=""),"缺少制度或证据原文",IF(X200&lt;&gt;"已确认","待复核",IF(OR(G200="",K200="",S200="",T200="",U200="",V200="",W200=""),"待系统回填公开ID","可用")))))</x:f>
      </x:c>
    </x:row>
    <x:row r="201" ht="34" customHeight="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34"/>
      <x:c r="X201" s="34"/>
      <x:c r="Y201" s="34"/>
      <x:c r="Z201" s="35" t="str">
        <x:f>IF(A201="","",IF(B201="","缺少case_id",IF(OR(H201="",O201=""),"缺少制度或证据原文",IF(X201&lt;&gt;"已确认","待复核",IF(OR(G201="",K201="",S201="",T201="",U201="",V201="",W201=""),"待系统回填公开ID","可用")))))</x:f>
      </x:c>
    </x:row>
    <x:row r="202" ht="34" customHeight="1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34"/>
      <x:c r="X202" s="34"/>
      <x:c r="Y202" s="34"/>
      <x:c r="Z202" s="35" t="str">
        <x:f>IF(A202="","",IF(B202="","缺少case_id",IF(OR(H202="",O202=""),"缺少制度或证据原文",IF(X202&lt;&gt;"已确认","待复核",IF(OR(G202="",K202="",S202="",T202="",U202="",V202="",W202=""),"待系统回填公开ID","可用")))))</x:f>
      </x:c>
    </x:row>
    <x:row r="203" ht="34" customHeight="1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34"/>
      <x:c r="X203" s="34"/>
      <x:c r="Y203" s="34"/>
      <x:c r="Z203" s="35" t="str">
        <x:f>IF(A203="","",IF(B203="","缺少case_id",IF(OR(H203="",O203=""),"缺少制度或证据原文",IF(X203&lt;&gt;"已确认","待复核",IF(OR(G203="",K203="",S203="",T203="",U203="",V203="",W203=""),"待系统回填公开ID","可用")))))</x:f>
      </x:c>
    </x:row>
    <x:row r="204" ht="34" customHeight="1">
      <x:c r="A204" s="34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34"/>
      <x:c r="X204" s="34"/>
      <x:c r="Y204" s="34"/>
      <x:c r="Z204" s="35" t="str">
        <x:f>IF(A204="","",IF(B204="","缺少case_id",IF(OR(H204="",O204=""),"缺少制度或证据原文",IF(X204&lt;&gt;"已确认","待复核",IF(OR(G204="",K204="",S204="",T204="",U204="",V204="",W204=""),"待系统回填公开ID","可用")))))</x:f>
      </x:c>
    </x:row>
  </x:sheetData>
  <x:conditionalFormatting sqref="Z5:Z204">
    <x:cfRule type="containsText" dxfId="10" priority="1" operator="containsText" text="可提交"/>
    <x:cfRule type="containsText" dxfId="11" priority="2" operator="containsText" text="可冻结"/>
    <x:cfRule type="containsText" dxfId="12" priority="3" operator="containsText" text="可用"/>
    <x:cfRule type="containsText" dxfId="13" priority="4" operator="containsText" text="缺少"/>
    <x:cfRule type="containsText" dxfId="14" priority="5" operator="containsText" text="待"/>
  </x:conditionalFormatting>
  <x:dataValidations count="7">
    <x:dataValidation type="list" sqref="D5:D204">
      <x:formula1>"必答关键点,可选补充点,冲突立场A,冲突立场B,近似误导证据"</x:formula1>
    </x:dataValidation>
    <x:dataValidation type="list" sqref="E5:E204">
      <x:formula1>"supports,contradicts,near_miss"</x:formula1>
    </x:dataValidation>
    <x:dataValidation type="list" sqref="F5:F204">
      <x:formula1>"any,all,not_applicable"</x:formula1>
    </x:dataValidation>
    <x:dataValidation type="list" sqref="J5:J204">
      <x:formula1>"ACTIVE,INACTIVE,REPEALED,SUPERSEDED,UNKNOWN"</x:formula1>
    </x:dataValidation>
    <x:dataValidation type="list" sqref="P5:P204">
      <x:formula1>"citation_v1"</x:formula1>
    </x:dataValidation>
    <x:dataValidation type="list" sqref="Q5:Q204">
      <x:formula1>"evidence_uid_v1"</x:formula1>
    </x:dataValidation>
    <x:dataValidation type="list" sqref="X5:X204">
      <x:formula1>"待复核,复核中,已确认,退回"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27b1de61944fee"/>
  </x:tableParts>
</x:worksheet>
</file>

<file path=xl/worksheets/sheet6.xml><?xml version="1.0" encoding="utf-8"?>
<x:worksheet xmlns:x="http://schemas.openxmlformats.org/spreadsheetml/2006/main">
  <x:sheetPr>
    <x:tabColor rgb="FF8064A2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16" hidden="0" customWidth="1"/>
    <x:col min="5" max="5" width="18" hidden="0" customWidth="1"/>
    <x:col min="6" max="6" width="28" hidden="0" customWidth="1"/>
    <x:col min="7" max="7" width="17" hidden="0" customWidth="1"/>
    <x:col min="8" max="8" width="25" hidden="0" customWidth="1"/>
    <x:col min="9" max="9" width="18" hidden="0" customWidth="1"/>
    <x:col min="10" max="10" width="60" hidden="0" customWidth="1"/>
    <x:col min="11" max="11" width="18" hidden="0" customWidth="1"/>
    <x:col min="12" max="12" width="21" hidden="0" customWidth="1"/>
    <x:col min="13" max="13" width="25" hidden="0" customWidth="1"/>
    <x:col min="14" max="14" width="22" hidden="0" customWidth="1"/>
    <x:col min="15" max="15" width="16" hidden="0" customWidth="1"/>
    <x:col min="16" max="16" width="23" hidden="0" customWidth="1"/>
    <x:col min="17" max="17" width="18" hidden="0" customWidth="1"/>
    <x:col min="18" max="18" width="24" hidden="0" customWidth="1"/>
    <x:col min="19" max="19" width="38" hidden="0" customWidth="1"/>
    <x:col min="20" max="20" width="38" hidden="0" customWidth="1"/>
    <x:col min="21" max="21" width="20" hidden="0" customWidth="1"/>
    <x:col min="22" max="22" width="16" hidden="0" customWidth="1"/>
    <x:col min="23" max="23" width="26" hidden="0" customWidth="1"/>
    <x:col min="24" max="24" width="24" hidden="0" customWidth="1"/>
    <x:col min="25" max="25" width="24" hidden="0" customWidth="1"/>
    <x:col min="26" max="26" width="28" hidden="0" customWidth="1"/>
    <x:col min="27" max="27" width="45" hidden="0" customWidth="1"/>
  </x:cols>
  <x:sheetData>
    <x:row r="1" ht="25" customHeight="1">
      <x:c r="A1" s="2" t="str">
        <x:v>人工执行记录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  <x:c r="AA1" s="57"/>
    </x:row>
    <x:row r="2" ht="25" customHeight="1">
      <x:c r="A2" s="58" t="str">
        <x:v>只记录公开 rag_api_v1_1 响应及人工评分，不依赖 debug 中的草稿哈希、Claim 绑定或 Verifier 判定。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</x:row>
    <x:row r="4" ht="36" customHeight="1">
      <x:c r="A4" s="59" t="str">
        <x:v>eval_run_id</x:v>
      </x:c>
      <x:c r="B4" s="59" t="str">
        <x:v>case_id</x:v>
      </x:c>
      <x:c r="C4" s="59" t="str">
        <x:v>dataset_version</x:v>
      </x:c>
      <x:c r="D4" s="59" t="str">
        <x:v>test_date</x:v>
      </x:c>
      <x:c r="E4" s="59" t="str">
        <x:v>tester_role</x:v>
      </x:c>
      <x:c r="F4" s="59" t="str">
        <x:v>environment</x:v>
      </x:c>
      <x:c r="G4" s="59" t="str">
        <x:v>query_scope</x:v>
      </x:c>
      <x:c r="H4" s="59" t="str">
        <x:v>actual_status</x:v>
      </x:c>
      <x:c r="I4" s="59" t="str">
        <x:v>status_correct</x:v>
      </x:c>
      <x:c r="J4" s="59" t="str">
        <x:v>actual_answer_summary</x:v>
      </x:c>
      <x:c r="K4" s="59" t="str">
        <x:v>key_point_score</x:v>
      </x:c>
      <x:c r="L4" s="59" t="str">
        <x:v>evidence_support_score</x:v>
      </x:c>
      <x:c r="M4" s="59" t="str">
        <x:v>citation_completeness_score</x:v>
      </x:c>
      <x:c r="N4" s="59" t="str">
        <x:v>citation_location_score</x:v>
      </x:c>
      <x:c r="O4" s="59" t="str">
        <x:v>hallucination</x:v>
      </x:c>
      <x:c r="P4" s="59" t="str">
        <x:v>conflict_bilateral_score</x:v>
      </x:c>
      <x:c r="Q4" s="59" t="str">
        <x:v>overall_result</x:v>
      </x:c>
      <x:c r="R4" s="59" t="str">
        <x:v>failure_type</x:v>
      </x:c>
      <x:c r="S4" s="59" t="str">
        <x:v>request_id</x:v>
      </x:c>
      <x:c r="T4" s="59" t="str">
        <x:v>engine_request_id</x:v>
      </x:c>
      <x:c r="U4" s="59" t="str">
        <x:v>contract_version</x:v>
      </x:c>
      <x:c r="V4" s="59" t="str">
        <x:v>index_run_id</x:v>
      </x:c>
      <x:c r="W4" s="59" t="str">
        <x:v>quality_gate_version</x:v>
      </x:c>
      <x:c r="X4" s="59" t="str">
        <x:v>rag_version</x:v>
      </x:c>
      <x:c r="Y4" s="59" t="str">
        <x:v>prompt_version</x:v>
      </x:c>
      <x:c r="Z4" s="59" t="str">
        <x:v>citation_labels</x:v>
      </x:c>
      <x:c r="AA4" s="59" t="str">
        <x:v>comments</x:v>
      </x:c>
    </x:row>
    <x:row r="5" ht="34" customHeight="1">
      <x:c r="A5" s="32"/>
      <x:c r="B5" s="32"/>
      <x:c r="C5" s="32"/>
      <x:c r="D5" s="40"/>
      <x:c r="E5" s="32"/>
      <x:c r="F5" s="32"/>
      <x:c r="G5" s="32"/>
      <x:c r="H5" s="32"/>
      <x:c r="I5" s="33" t="str">
        <x:f>IF(B5="","",IF(COUNTIF('专家金标'!$A$5:$A$204,B5)=0,"未找到金标",IF(H5=INDEX('专家金标'!$J$5:$J$204,MATCH(B5,'专家金标'!$A$5:$A$204,0)),"是","否")))</x:f>
      </x:c>
      <x:c r="J5" s="32"/>
      <x:c r="K5" s="32"/>
      <x:c r="L5" s="32"/>
      <x:c r="M5" s="32"/>
      <x:c r="N5" s="32"/>
      <x:c r="O5" s="32"/>
      <x:c r="P5" s="32"/>
      <x:c r="Q5" s="33" t="str">
        <x:f>IF(B5="","",IF(I5&lt;&gt;"是","不通过",IF(O5&lt;&gt;"否","不通过",IF(H5="ANSWER",IF(AND(K5=2,L5=2,M5=2,N5=2),"通过","不通过"),IF(H5="CONFLICT",IF(AND(K5=2,L5=2,M5=2,N5=2,P5=2),"通过","不通过"),IF(H5="INSUFFICIENT_EVIDENCE","通过","待填写"))))))</x:f>
      </x:c>
      <x:c r="R5" s="32"/>
      <x:c r="S5" s="32"/>
      <x:c r="T5" s="32"/>
      <x:c r="U5" s="32"/>
      <x:c r="V5" s="32"/>
      <x:c r="W5" s="32"/>
      <x:c r="X5" s="32"/>
      <x:c r="Y5" s="32"/>
      <x:c r="Z5" s="32"/>
      <x:c r="AA5" s="32"/>
    </x:row>
    <x:row r="6" ht="34" customHeight="1">
      <x:c r="A6" s="34"/>
      <x:c r="B6" s="34"/>
      <x:c r="C6" s="34"/>
      <x:c r="D6" s="41"/>
      <x:c r="E6" s="34"/>
      <x:c r="F6" s="34"/>
      <x:c r="G6" s="34"/>
      <x:c r="H6" s="34"/>
      <x:c r="I6" s="35" t="str">
        <x:f>IF(B6="","",IF(COUNTIF('专家金标'!$A$5:$A$204,B6)=0,"未找到金标",IF(H6=INDEX('专家金标'!$J$5:$J$204,MATCH(B6,'专家金标'!$A$5:$A$204,0)),"是","否")))</x:f>
      </x:c>
      <x:c r="J6" s="34"/>
      <x:c r="K6" s="34"/>
      <x:c r="L6" s="34"/>
      <x:c r="M6" s="34"/>
      <x:c r="N6" s="34"/>
      <x:c r="O6" s="34"/>
      <x:c r="P6" s="34"/>
      <x:c r="Q6" s="35" t="str">
        <x:f>IF(B6="","",IF(I6&lt;&gt;"是","不通过",IF(O6&lt;&gt;"否","不通过",IF(H6="ANSWER",IF(AND(K6=2,L6=2,M6=2,N6=2),"通过","不通过"),IF(H6="CONFLICT",IF(AND(K6=2,L6=2,M6=2,N6=2,P6=2),"通过","不通过"),IF(H6="INSUFFICIENT_EVIDENCE","通过","待填写"))))))</x:f>
      </x:c>
      <x:c r="R6" s="34"/>
      <x:c r="S6" s="34"/>
      <x:c r="T6" s="34"/>
      <x:c r="U6" s="34"/>
      <x:c r="V6" s="34"/>
      <x:c r="W6" s="34"/>
      <x:c r="X6" s="34"/>
      <x:c r="Y6" s="34"/>
      <x:c r="Z6" s="34"/>
      <x:c r="AA6" s="34"/>
    </x:row>
    <x:row r="7" ht="34" customHeight="1">
      <x:c r="A7" s="34"/>
      <x:c r="B7" s="34"/>
      <x:c r="C7" s="34"/>
      <x:c r="D7" s="41"/>
      <x:c r="E7" s="34"/>
      <x:c r="F7" s="34"/>
      <x:c r="G7" s="34"/>
      <x:c r="H7" s="34"/>
      <x:c r="I7" s="35" t="str">
        <x:f>IF(B7="","",IF(COUNTIF('专家金标'!$A$5:$A$204,B7)=0,"未找到金标",IF(H7=INDEX('专家金标'!$J$5:$J$204,MATCH(B7,'专家金标'!$A$5:$A$204,0)),"是","否")))</x:f>
      </x:c>
      <x:c r="J7" s="34"/>
      <x:c r="K7" s="34"/>
      <x:c r="L7" s="34"/>
      <x:c r="M7" s="34"/>
      <x:c r="N7" s="34"/>
      <x:c r="O7" s="34"/>
      <x:c r="P7" s="34"/>
      <x:c r="Q7" s="35" t="str">
        <x:f>IF(B7="","",IF(I7&lt;&gt;"是","不通过",IF(O7&lt;&gt;"否","不通过",IF(H7="ANSWER",IF(AND(K7=2,L7=2,M7=2,N7=2),"通过","不通过"),IF(H7="CONFLICT",IF(AND(K7=2,L7=2,M7=2,N7=2,P7=2),"通过","不通过"),IF(H7="INSUFFICIENT_EVIDENCE","通过","待填写"))))))</x:f>
      </x:c>
      <x:c r="R7" s="34"/>
      <x:c r="S7" s="34"/>
      <x:c r="T7" s="34"/>
      <x:c r="U7" s="34"/>
      <x:c r="V7" s="34"/>
      <x:c r="W7" s="34"/>
      <x:c r="X7" s="34"/>
      <x:c r="Y7" s="34"/>
      <x:c r="Z7" s="34"/>
      <x:c r="AA7" s="34"/>
    </x:row>
    <x:row r="8" ht="34" customHeight="1">
      <x:c r="A8" s="34"/>
      <x:c r="B8" s="34"/>
      <x:c r="C8" s="34"/>
      <x:c r="D8" s="41"/>
      <x:c r="E8" s="34"/>
      <x:c r="F8" s="34"/>
      <x:c r="G8" s="34"/>
      <x:c r="H8" s="34"/>
      <x:c r="I8" s="35" t="str">
        <x:f>IF(B8="","",IF(COUNTIF('专家金标'!$A$5:$A$204,B8)=0,"未找到金标",IF(H8=INDEX('专家金标'!$J$5:$J$204,MATCH(B8,'专家金标'!$A$5:$A$204,0)),"是","否")))</x:f>
      </x:c>
      <x:c r="J8" s="34"/>
      <x:c r="K8" s="34"/>
      <x:c r="L8" s="34"/>
      <x:c r="M8" s="34"/>
      <x:c r="N8" s="34"/>
      <x:c r="O8" s="34"/>
      <x:c r="P8" s="34"/>
      <x:c r="Q8" s="35" t="str">
        <x:f>IF(B8="","",IF(I8&lt;&gt;"是","不通过",IF(O8&lt;&gt;"否","不通过",IF(H8="ANSWER",IF(AND(K8=2,L8=2,M8=2,N8=2),"通过","不通过"),IF(H8="CONFLICT",IF(AND(K8=2,L8=2,M8=2,N8=2,P8=2),"通过","不通过"),IF(H8="INSUFFICIENT_EVIDENCE","通过","待填写"))))))</x:f>
      </x:c>
      <x:c r="R8" s="34"/>
      <x:c r="S8" s="34"/>
      <x:c r="T8" s="34"/>
      <x:c r="U8" s="34"/>
      <x:c r="V8" s="34"/>
      <x:c r="W8" s="34"/>
      <x:c r="X8" s="34"/>
      <x:c r="Y8" s="34"/>
      <x:c r="Z8" s="34"/>
      <x:c r="AA8" s="34"/>
    </x:row>
    <x:row r="9" ht="34" customHeight="1">
      <x:c r="A9" s="34"/>
      <x:c r="B9" s="34"/>
      <x:c r="C9" s="34"/>
      <x:c r="D9" s="41"/>
      <x:c r="E9" s="34"/>
      <x:c r="F9" s="34"/>
      <x:c r="G9" s="34"/>
      <x:c r="H9" s="34"/>
      <x:c r="I9" s="35" t="str">
        <x:f>IF(B9="","",IF(COUNTIF('专家金标'!$A$5:$A$204,B9)=0,"未找到金标",IF(H9=INDEX('专家金标'!$J$5:$J$204,MATCH(B9,'专家金标'!$A$5:$A$204,0)),"是","否")))</x:f>
      </x:c>
      <x:c r="J9" s="34"/>
      <x:c r="K9" s="34"/>
      <x:c r="L9" s="34"/>
      <x:c r="M9" s="34"/>
      <x:c r="N9" s="34"/>
      <x:c r="O9" s="34"/>
      <x:c r="P9" s="34"/>
      <x:c r="Q9" s="35" t="str">
        <x:f>IF(B9="","",IF(I9&lt;&gt;"是","不通过",IF(O9&lt;&gt;"否","不通过",IF(H9="ANSWER",IF(AND(K9=2,L9=2,M9=2,N9=2),"通过","不通过"),IF(H9="CONFLICT",IF(AND(K9=2,L9=2,M9=2,N9=2,P9=2),"通过","不通过"),IF(H9="INSUFFICIENT_EVIDENCE","通过","待填写"))))))</x:f>
      </x:c>
      <x:c r="R9" s="34"/>
      <x:c r="S9" s="34"/>
      <x:c r="T9" s="34"/>
      <x:c r="U9" s="34"/>
      <x:c r="V9" s="34"/>
      <x:c r="W9" s="34"/>
      <x:c r="X9" s="34"/>
      <x:c r="Y9" s="34"/>
      <x:c r="Z9" s="34"/>
      <x:c r="AA9" s="34"/>
    </x:row>
    <x:row r="10" ht="34" customHeight="1">
      <x:c r="A10" s="34"/>
      <x:c r="B10" s="34"/>
      <x:c r="C10" s="34"/>
      <x:c r="D10" s="41"/>
      <x:c r="E10" s="34"/>
      <x:c r="F10" s="34"/>
      <x:c r="G10" s="34"/>
      <x:c r="H10" s="34"/>
      <x:c r="I10" s="35" t="str">
        <x:f>IF(B10="","",IF(COUNTIF('专家金标'!$A$5:$A$204,B10)=0,"未找到金标",IF(H10=INDEX('专家金标'!$J$5:$J$204,MATCH(B10,'专家金标'!$A$5:$A$204,0)),"是","否")))</x:f>
      </x:c>
      <x:c r="J10" s="34"/>
      <x:c r="K10" s="34"/>
      <x:c r="L10" s="34"/>
      <x:c r="M10" s="34"/>
      <x:c r="N10" s="34"/>
      <x:c r="O10" s="34"/>
      <x:c r="P10" s="34"/>
      <x:c r="Q10" s="35" t="str">
        <x:f>IF(B10="","",IF(I10&lt;&gt;"是","不通过",IF(O10&lt;&gt;"否","不通过",IF(H10="ANSWER",IF(AND(K10=2,L10=2,M10=2,N10=2),"通过","不通过"),IF(H10="CONFLICT",IF(AND(K10=2,L10=2,M10=2,N10=2,P10=2),"通过","不通过"),IF(H10="INSUFFICIENT_EVIDENCE","通过","待填写"))))))</x:f>
      </x:c>
      <x:c r="R10" s="34"/>
      <x:c r="S10" s="34"/>
      <x:c r="T10" s="34"/>
      <x:c r="U10" s="34"/>
      <x:c r="V10" s="34"/>
      <x:c r="W10" s="34"/>
      <x:c r="X10" s="34"/>
      <x:c r="Y10" s="34"/>
      <x:c r="Z10" s="34"/>
      <x:c r="AA10" s="34"/>
    </x:row>
    <x:row r="11" ht="34" customHeight="1">
      <x:c r="A11" s="34"/>
      <x:c r="B11" s="34"/>
      <x:c r="C11" s="34"/>
      <x:c r="D11" s="41"/>
      <x:c r="E11" s="34"/>
      <x:c r="F11" s="34"/>
      <x:c r="G11" s="34"/>
      <x:c r="H11" s="34"/>
      <x:c r="I11" s="35" t="str">
        <x:f>IF(B11="","",IF(COUNTIF('专家金标'!$A$5:$A$204,B11)=0,"未找到金标",IF(H11=INDEX('专家金标'!$J$5:$J$204,MATCH(B11,'专家金标'!$A$5:$A$204,0)),"是","否")))</x:f>
      </x:c>
      <x:c r="J11" s="34"/>
      <x:c r="K11" s="34"/>
      <x:c r="L11" s="34"/>
      <x:c r="M11" s="34"/>
      <x:c r="N11" s="34"/>
      <x:c r="O11" s="34"/>
      <x:c r="P11" s="34"/>
      <x:c r="Q11" s="35" t="str">
        <x:f>IF(B11="","",IF(I11&lt;&gt;"是","不通过",IF(O11&lt;&gt;"否","不通过",IF(H11="ANSWER",IF(AND(K11=2,L11=2,M11=2,N11=2),"通过","不通过"),IF(H11="CONFLICT",IF(AND(K11=2,L11=2,M11=2,N11=2,P11=2),"通过","不通过"),IF(H11="INSUFFICIENT_EVIDENCE","通过","待填写"))))))</x:f>
      </x:c>
      <x:c r="R11" s="34"/>
      <x:c r="S11" s="34"/>
      <x:c r="T11" s="34"/>
      <x:c r="U11" s="34"/>
      <x:c r="V11" s="34"/>
      <x:c r="W11" s="34"/>
      <x:c r="X11" s="34"/>
      <x:c r="Y11" s="34"/>
      <x:c r="Z11" s="34"/>
      <x:c r="AA11" s="34"/>
    </x:row>
    <x:row r="12" ht="34" customHeight="1">
      <x:c r="A12" s="34"/>
      <x:c r="B12" s="34"/>
      <x:c r="C12" s="34"/>
      <x:c r="D12" s="41"/>
      <x:c r="E12" s="34"/>
      <x:c r="F12" s="34"/>
      <x:c r="G12" s="34"/>
      <x:c r="H12" s="34"/>
      <x:c r="I12" s="35" t="str">
        <x:f>IF(B12="","",IF(COUNTIF('专家金标'!$A$5:$A$204,B12)=0,"未找到金标",IF(H12=INDEX('专家金标'!$J$5:$J$204,MATCH(B12,'专家金标'!$A$5:$A$204,0)),"是","否")))</x:f>
      </x:c>
      <x:c r="J12" s="34"/>
      <x:c r="K12" s="34"/>
      <x:c r="L12" s="34"/>
      <x:c r="M12" s="34"/>
      <x:c r="N12" s="34"/>
      <x:c r="O12" s="34"/>
      <x:c r="P12" s="34"/>
      <x:c r="Q12" s="35" t="str">
        <x:f>IF(B12="","",IF(I12&lt;&gt;"是","不通过",IF(O12&lt;&gt;"否","不通过",IF(H12="ANSWER",IF(AND(K12=2,L12=2,M12=2,N12=2),"通过","不通过"),IF(H12="CONFLICT",IF(AND(K12=2,L12=2,M12=2,N12=2,P12=2),"通过","不通过"),IF(H12="INSUFFICIENT_EVIDENCE","通过","待填写"))))))</x:f>
      </x:c>
      <x:c r="R12" s="34"/>
      <x:c r="S12" s="34"/>
      <x:c r="T12" s="34"/>
      <x:c r="U12" s="34"/>
      <x:c r="V12" s="34"/>
      <x:c r="W12" s="34"/>
      <x:c r="X12" s="34"/>
      <x:c r="Y12" s="34"/>
      <x:c r="Z12" s="34"/>
      <x:c r="AA12" s="34"/>
    </x:row>
    <x:row r="13" ht="34" customHeight="1">
      <x:c r="A13" s="34"/>
      <x:c r="B13" s="34"/>
      <x:c r="C13" s="34"/>
      <x:c r="D13" s="41"/>
      <x:c r="E13" s="34"/>
      <x:c r="F13" s="34"/>
      <x:c r="G13" s="34"/>
      <x:c r="H13" s="34"/>
      <x:c r="I13" s="35" t="str">
        <x:f>IF(B13="","",IF(COUNTIF('专家金标'!$A$5:$A$204,B13)=0,"未找到金标",IF(H13=INDEX('专家金标'!$J$5:$J$204,MATCH(B13,'专家金标'!$A$5:$A$204,0)),"是","否")))</x:f>
      </x:c>
      <x:c r="J13" s="34"/>
      <x:c r="K13" s="34"/>
      <x:c r="L13" s="34"/>
      <x:c r="M13" s="34"/>
      <x:c r="N13" s="34"/>
      <x:c r="O13" s="34"/>
      <x:c r="P13" s="34"/>
      <x:c r="Q13" s="35" t="str">
        <x:f>IF(B13="","",IF(I13&lt;&gt;"是","不通过",IF(O13&lt;&gt;"否","不通过",IF(H13="ANSWER",IF(AND(K13=2,L13=2,M13=2,N13=2),"通过","不通过"),IF(H13="CONFLICT",IF(AND(K13=2,L13=2,M13=2,N13=2,P13=2),"通过","不通过"),IF(H13="INSUFFICIENT_EVIDENCE","通过","待填写"))))))</x:f>
      </x:c>
      <x:c r="R13" s="34"/>
      <x:c r="S13" s="34"/>
      <x:c r="T13" s="34"/>
      <x:c r="U13" s="34"/>
      <x:c r="V13" s="34"/>
      <x:c r="W13" s="34"/>
      <x:c r="X13" s="34"/>
      <x:c r="Y13" s="34"/>
      <x:c r="Z13" s="34"/>
      <x:c r="AA13" s="34"/>
    </x:row>
    <x:row r="14" ht="34" customHeight="1">
      <x:c r="A14" s="34"/>
      <x:c r="B14" s="34"/>
      <x:c r="C14" s="34"/>
      <x:c r="D14" s="41"/>
      <x:c r="E14" s="34"/>
      <x:c r="F14" s="34"/>
      <x:c r="G14" s="34"/>
      <x:c r="H14" s="34"/>
      <x:c r="I14" s="35" t="str">
        <x:f>IF(B14="","",IF(COUNTIF('专家金标'!$A$5:$A$204,B14)=0,"未找到金标",IF(H14=INDEX('专家金标'!$J$5:$J$204,MATCH(B14,'专家金标'!$A$5:$A$204,0)),"是","否")))</x:f>
      </x:c>
      <x:c r="J14" s="34"/>
      <x:c r="K14" s="34"/>
      <x:c r="L14" s="34"/>
      <x:c r="M14" s="34"/>
      <x:c r="N14" s="34"/>
      <x:c r="O14" s="34"/>
      <x:c r="P14" s="34"/>
      <x:c r="Q14" s="35" t="str">
        <x:f>IF(B14="","",IF(I14&lt;&gt;"是","不通过",IF(O14&lt;&gt;"否","不通过",IF(H14="ANSWER",IF(AND(K14=2,L14=2,M14=2,N14=2),"通过","不通过"),IF(H14="CONFLICT",IF(AND(K14=2,L14=2,M14=2,N14=2,P14=2),"通过","不通过"),IF(H14="INSUFFICIENT_EVIDENCE","通过","待填写"))))))</x:f>
      </x:c>
      <x:c r="R14" s="34"/>
      <x:c r="S14" s="34"/>
      <x:c r="T14" s="34"/>
      <x:c r="U14" s="34"/>
      <x:c r="V14" s="34"/>
      <x:c r="W14" s="34"/>
      <x:c r="X14" s="34"/>
      <x:c r="Y14" s="34"/>
      <x:c r="Z14" s="34"/>
      <x:c r="AA14" s="34"/>
    </x:row>
    <x:row r="15" ht="34" customHeight="1">
      <x:c r="A15" s="34"/>
      <x:c r="B15" s="34"/>
      <x:c r="C15" s="34"/>
      <x:c r="D15" s="41"/>
      <x:c r="E15" s="34"/>
      <x:c r="F15" s="34"/>
      <x:c r="G15" s="34"/>
      <x:c r="H15" s="34"/>
      <x:c r="I15" s="35" t="str">
        <x:f>IF(B15="","",IF(COUNTIF('专家金标'!$A$5:$A$204,B15)=0,"未找到金标",IF(H15=INDEX('专家金标'!$J$5:$J$204,MATCH(B15,'专家金标'!$A$5:$A$204,0)),"是","否")))</x:f>
      </x:c>
      <x:c r="J15" s="34"/>
      <x:c r="K15" s="34"/>
      <x:c r="L15" s="34"/>
      <x:c r="M15" s="34"/>
      <x:c r="N15" s="34"/>
      <x:c r="O15" s="34"/>
      <x:c r="P15" s="34"/>
      <x:c r="Q15" s="35" t="str">
        <x:f>IF(B15="","",IF(I15&lt;&gt;"是","不通过",IF(O15&lt;&gt;"否","不通过",IF(H15="ANSWER",IF(AND(K15=2,L15=2,M15=2,N15=2),"通过","不通过"),IF(H15="CONFLICT",IF(AND(K15=2,L15=2,M15=2,N15=2,P15=2),"通过","不通过"),IF(H15="INSUFFICIENT_EVIDENCE","通过","待填写"))))))</x:f>
      </x:c>
      <x:c r="R15" s="34"/>
      <x:c r="S15" s="34"/>
      <x:c r="T15" s="34"/>
      <x:c r="U15" s="34"/>
      <x:c r="V15" s="34"/>
      <x:c r="W15" s="34"/>
      <x:c r="X15" s="34"/>
      <x:c r="Y15" s="34"/>
      <x:c r="Z15" s="34"/>
      <x:c r="AA15" s="34"/>
    </x:row>
    <x:row r="16" ht="34" customHeight="1">
      <x:c r="A16" s="34"/>
      <x:c r="B16" s="34"/>
      <x:c r="C16" s="34"/>
      <x:c r="D16" s="41"/>
      <x:c r="E16" s="34"/>
      <x:c r="F16" s="34"/>
      <x:c r="G16" s="34"/>
      <x:c r="H16" s="34"/>
      <x:c r="I16" s="35" t="str">
        <x:f>IF(B16="","",IF(COUNTIF('专家金标'!$A$5:$A$204,B16)=0,"未找到金标",IF(H16=INDEX('专家金标'!$J$5:$J$204,MATCH(B16,'专家金标'!$A$5:$A$204,0)),"是","否")))</x:f>
      </x:c>
      <x:c r="J16" s="34"/>
      <x:c r="K16" s="34"/>
      <x:c r="L16" s="34"/>
      <x:c r="M16" s="34"/>
      <x:c r="N16" s="34"/>
      <x:c r="O16" s="34"/>
      <x:c r="P16" s="34"/>
      <x:c r="Q16" s="35" t="str">
        <x:f>IF(B16="","",IF(I16&lt;&gt;"是","不通过",IF(O16&lt;&gt;"否","不通过",IF(H16="ANSWER",IF(AND(K16=2,L16=2,M16=2,N16=2),"通过","不通过"),IF(H16="CONFLICT",IF(AND(K16=2,L16=2,M16=2,N16=2,P16=2),"通过","不通过"),IF(H16="INSUFFICIENT_EVIDENCE","通过","待填写"))))))</x:f>
      </x:c>
      <x:c r="R16" s="34"/>
      <x:c r="S16" s="34"/>
      <x:c r="T16" s="34"/>
      <x:c r="U16" s="34"/>
      <x:c r="V16" s="34"/>
      <x:c r="W16" s="34"/>
      <x:c r="X16" s="34"/>
      <x:c r="Y16" s="34"/>
      <x:c r="Z16" s="34"/>
      <x:c r="AA16" s="34"/>
    </x:row>
    <x:row r="17" ht="34" customHeight="1">
      <x:c r="A17" s="34"/>
      <x:c r="B17" s="34"/>
      <x:c r="C17" s="34"/>
      <x:c r="D17" s="41"/>
      <x:c r="E17" s="34"/>
      <x:c r="F17" s="34"/>
      <x:c r="G17" s="34"/>
      <x:c r="H17" s="34"/>
      <x:c r="I17" s="35" t="str">
        <x:f>IF(B17="","",IF(COUNTIF('专家金标'!$A$5:$A$204,B17)=0,"未找到金标",IF(H17=INDEX('专家金标'!$J$5:$J$204,MATCH(B17,'专家金标'!$A$5:$A$204,0)),"是","否")))</x:f>
      </x:c>
      <x:c r="J17" s="34"/>
      <x:c r="K17" s="34"/>
      <x:c r="L17" s="34"/>
      <x:c r="M17" s="34"/>
      <x:c r="N17" s="34"/>
      <x:c r="O17" s="34"/>
      <x:c r="P17" s="34"/>
      <x:c r="Q17" s="35" t="str">
        <x:f>IF(B17="","",IF(I17&lt;&gt;"是","不通过",IF(O17&lt;&gt;"否","不通过",IF(H17="ANSWER",IF(AND(K17=2,L17=2,M17=2,N17=2),"通过","不通过"),IF(H17="CONFLICT",IF(AND(K17=2,L17=2,M17=2,N17=2,P17=2),"通过","不通过"),IF(H17="INSUFFICIENT_EVIDENCE","通过","待填写"))))))</x:f>
      </x:c>
      <x:c r="R17" s="34"/>
      <x:c r="S17" s="34"/>
      <x:c r="T17" s="34"/>
      <x:c r="U17" s="34"/>
      <x:c r="V17" s="34"/>
      <x:c r="W17" s="34"/>
      <x:c r="X17" s="34"/>
      <x:c r="Y17" s="34"/>
      <x:c r="Z17" s="34"/>
      <x:c r="AA17" s="34"/>
    </x:row>
    <x:row r="18" ht="34" customHeight="1">
      <x:c r="A18" s="34"/>
      <x:c r="B18" s="34"/>
      <x:c r="C18" s="34"/>
      <x:c r="D18" s="41"/>
      <x:c r="E18" s="34"/>
      <x:c r="F18" s="34"/>
      <x:c r="G18" s="34"/>
      <x:c r="H18" s="34"/>
      <x:c r="I18" s="35" t="str">
        <x:f>IF(B18="","",IF(COUNTIF('专家金标'!$A$5:$A$204,B18)=0,"未找到金标",IF(H18=INDEX('专家金标'!$J$5:$J$204,MATCH(B18,'专家金标'!$A$5:$A$204,0)),"是","否")))</x:f>
      </x:c>
      <x:c r="J18" s="34"/>
      <x:c r="K18" s="34"/>
      <x:c r="L18" s="34"/>
      <x:c r="M18" s="34"/>
      <x:c r="N18" s="34"/>
      <x:c r="O18" s="34"/>
      <x:c r="P18" s="34"/>
      <x:c r="Q18" s="35" t="str">
        <x:f>IF(B18="","",IF(I18&lt;&gt;"是","不通过",IF(O18&lt;&gt;"否","不通过",IF(H18="ANSWER",IF(AND(K18=2,L18=2,M18=2,N18=2),"通过","不通过"),IF(H18="CONFLICT",IF(AND(K18=2,L18=2,M18=2,N18=2,P18=2),"通过","不通过"),IF(H18="INSUFFICIENT_EVIDENCE","通过","待填写"))))))</x:f>
      </x:c>
      <x:c r="R18" s="34"/>
      <x:c r="S18" s="34"/>
      <x:c r="T18" s="34"/>
      <x:c r="U18" s="34"/>
      <x:c r="V18" s="34"/>
      <x:c r="W18" s="34"/>
      <x:c r="X18" s="34"/>
      <x:c r="Y18" s="34"/>
      <x:c r="Z18" s="34"/>
      <x:c r="AA18" s="34"/>
    </x:row>
    <x:row r="19" ht="34" customHeight="1">
      <x:c r="A19" s="34"/>
      <x:c r="B19" s="34"/>
      <x:c r="C19" s="34"/>
      <x:c r="D19" s="41"/>
      <x:c r="E19" s="34"/>
      <x:c r="F19" s="34"/>
      <x:c r="G19" s="34"/>
      <x:c r="H19" s="34"/>
      <x:c r="I19" s="35" t="str">
        <x:f>IF(B19="","",IF(COUNTIF('专家金标'!$A$5:$A$204,B19)=0,"未找到金标",IF(H19=INDEX('专家金标'!$J$5:$J$204,MATCH(B19,'专家金标'!$A$5:$A$204,0)),"是","否")))</x:f>
      </x:c>
      <x:c r="J19" s="34"/>
      <x:c r="K19" s="34"/>
      <x:c r="L19" s="34"/>
      <x:c r="M19" s="34"/>
      <x:c r="N19" s="34"/>
      <x:c r="O19" s="34"/>
      <x:c r="P19" s="34"/>
      <x:c r="Q19" s="35" t="str">
        <x:f>IF(B19="","",IF(I19&lt;&gt;"是","不通过",IF(O19&lt;&gt;"否","不通过",IF(H19="ANSWER",IF(AND(K19=2,L19=2,M19=2,N19=2),"通过","不通过"),IF(H19="CONFLICT",IF(AND(K19=2,L19=2,M19=2,N19=2,P19=2),"通过","不通过"),IF(H19="INSUFFICIENT_EVIDENCE","通过","待填写"))))))</x:f>
      </x:c>
      <x:c r="R19" s="34"/>
      <x:c r="S19" s="34"/>
      <x:c r="T19" s="34"/>
      <x:c r="U19" s="34"/>
      <x:c r="V19" s="34"/>
      <x:c r="W19" s="34"/>
      <x:c r="X19" s="34"/>
      <x:c r="Y19" s="34"/>
      <x:c r="Z19" s="34"/>
      <x:c r="AA19" s="34"/>
    </x:row>
    <x:row r="20" ht="34" customHeight="1">
      <x:c r="A20" s="34"/>
      <x:c r="B20" s="34"/>
      <x:c r="C20" s="34"/>
      <x:c r="D20" s="41"/>
      <x:c r="E20" s="34"/>
      <x:c r="F20" s="34"/>
      <x:c r="G20" s="34"/>
      <x:c r="H20" s="34"/>
      <x:c r="I20" s="35" t="str">
        <x:f>IF(B20="","",IF(COUNTIF('专家金标'!$A$5:$A$204,B20)=0,"未找到金标",IF(H20=INDEX('专家金标'!$J$5:$J$204,MATCH(B20,'专家金标'!$A$5:$A$204,0)),"是","否")))</x:f>
      </x:c>
      <x:c r="J20" s="34"/>
      <x:c r="K20" s="34"/>
      <x:c r="L20" s="34"/>
      <x:c r="M20" s="34"/>
      <x:c r="N20" s="34"/>
      <x:c r="O20" s="34"/>
      <x:c r="P20" s="34"/>
      <x:c r="Q20" s="35" t="str">
        <x:f>IF(B20="","",IF(I20&lt;&gt;"是","不通过",IF(O20&lt;&gt;"否","不通过",IF(H20="ANSWER",IF(AND(K20=2,L20=2,M20=2,N20=2),"通过","不通过"),IF(H20="CONFLICT",IF(AND(K20=2,L20=2,M20=2,N20=2,P20=2),"通过","不通过"),IF(H20="INSUFFICIENT_EVIDENCE","通过","待填写"))))))</x:f>
      </x:c>
      <x:c r="R20" s="34"/>
      <x:c r="S20" s="34"/>
      <x:c r="T20" s="34"/>
      <x:c r="U20" s="34"/>
      <x:c r="V20" s="34"/>
      <x:c r="W20" s="34"/>
      <x:c r="X20" s="34"/>
      <x:c r="Y20" s="34"/>
      <x:c r="Z20" s="34"/>
      <x:c r="AA20" s="34"/>
    </x:row>
    <x:row r="21" ht="34" customHeight="1">
      <x:c r="A21" s="34"/>
      <x:c r="B21" s="34"/>
      <x:c r="C21" s="34"/>
      <x:c r="D21" s="41"/>
      <x:c r="E21" s="34"/>
      <x:c r="F21" s="34"/>
      <x:c r="G21" s="34"/>
      <x:c r="H21" s="34"/>
      <x:c r="I21" s="35" t="str">
        <x:f>IF(B21="","",IF(COUNTIF('专家金标'!$A$5:$A$204,B21)=0,"未找到金标",IF(H21=INDEX('专家金标'!$J$5:$J$204,MATCH(B21,'专家金标'!$A$5:$A$204,0)),"是","否")))</x:f>
      </x:c>
      <x:c r="J21" s="34"/>
      <x:c r="K21" s="34"/>
      <x:c r="L21" s="34"/>
      <x:c r="M21" s="34"/>
      <x:c r="N21" s="34"/>
      <x:c r="O21" s="34"/>
      <x:c r="P21" s="34"/>
      <x:c r="Q21" s="35" t="str">
        <x:f>IF(B21="","",IF(I21&lt;&gt;"是","不通过",IF(O21&lt;&gt;"否","不通过",IF(H21="ANSWER",IF(AND(K21=2,L21=2,M21=2,N21=2),"通过","不通过"),IF(H21="CONFLICT",IF(AND(K21=2,L21=2,M21=2,N21=2,P21=2),"通过","不通过"),IF(H21="INSUFFICIENT_EVIDENCE","通过","待填写"))))))</x:f>
      </x:c>
      <x:c r="R21" s="34"/>
      <x:c r="S21" s="34"/>
      <x:c r="T21" s="34"/>
      <x:c r="U21" s="34"/>
      <x:c r="V21" s="34"/>
      <x:c r="W21" s="34"/>
      <x:c r="X21" s="34"/>
      <x:c r="Y21" s="34"/>
      <x:c r="Z21" s="34"/>
      <x:c r="AA21" s="34"/>
    </x:row>
    <x:row r="22" ht="34" customHeight="1">
      <x:c r="A22" s="34"/>
      <x:c r="B22" s="34"/>
      <x:c r="C22" s="34"/>
      <x:c r="D22" s="41"/>
      <x:c r="E22" s="34"/>
      <x:c r="F22" s="34"/>
      <x:c r="G22" s="34"/>
      <x:c r="H22" s="34"/>
      <x:c r="I22" s="35" t="str">
        <x:f>IF(B22="","",IF(COUNTIF('专家金标'!$A$5:$A$204,B22)=0,"未找到金标",IF(H22=INDEX('专家金标'!$J$5:$J$204,MATCH(B22,'专家金标'!$A$5:$A$204,0)),"是","否")))</x:f>
      </x:c>
      <x:c r="J22" s="34"/>
      <x:c r="K22" s="34"/>
      <x:c r="L22" s="34"/>
      <x:c r="M22" s="34"/>
      <x:c r="N22" s="34"/>
      <x:c r="O22" s="34"/>
      <x:c r="P22" s="34"/>
      <x:c r="Q22" s="35" t="str">
        <x:f>IF(B22="","",IF(I22&lt;&gt;"是","不通过",IF(O22&lt;&gt;"否","不通过",IF(H22="ANSWER",IF(AND(K22=2,L22=2,M22=2,N22=2),"通过","不通过"),IF(H22="CONFLICT",IF(AND(K22=2,L22=2,M22=2,N22=2,P22=2),"通过","不通过"),IF(H22="INSUFFICIENT_EVIDENCE","通过","待填写"))))))</x:f>
      </x:c>
      <x:c r="R22" s="34"/>
      <x:c r="S22" s="34"/>
      <x:c r="T22" s="34"/>
      <x:c r="U22" s="34"/>
      <x:c r="V22" s="34"/>
      <x:c r="W22" s="34"/>
      <x:c r="X22" s="34"/>
      <x:c r="Y22" s="34"/>
      <x:c r="Z22" s="34"/>
      <x:c r="AA22" s="34"/>
    </x:row>
    <x:row r="23" ht="34" customHeight="1">
      <x:c r="A23" s="34"/>
      <x:c r="B23" s="34"/>
      <x:c r="C23" s="34"/>
      <x:c r="D23" s="41"/>
      <x:c r="E23" s="34"/>
      <x:c r="F23" s="34"/>
      <x:c r="G23" s="34"/>
      <x:c r="H23" s="34"/>
      <x:c r="I23" s="35" t="str">
        <x:f>IF(B23="","",IF(COUNTIF('专家金标'!$A$5:$A$204,B23)=0,"未找到金标",IF(H23=INDEX('专家金标'!$J$5:$J$204,MATCH(B23,'专家金标'!$A$5:$A$204,0)),"是","否")))</x:f>
      </x:c>
      <x:c r="J23" s="34"/>
      <x:c r="K23" s="34"/>
      <x:c r="L23" s="34"/>
      <x:c r="M23" s="34"/>
      <x:c r="N23" s="34"/>
      <x:c r="O23" s="34"/>
      <x:c r="P23" s="34"/>
      <x:c r="Q23" s="35" t="str">
        <x:f>IF(B23="","",IF(I23&lt;&gt;"是","不通过",IF(O23&lt;&gt;"否","不通过",IF(H23="ANSWER",IF(AND(K23=2,L23=2,M23=2,N23=2),"通过","不通过"),IF(H23="CONFLICT",IF(AND(K23=2,L23=2,M23=2,N23=2,P23=2),"通过","不通过"),IF(H23="INSUFFICIENT_EVIDENCE","通过","待填写"))))))</x:f>
      </x:c>
      <x:c r="R23" s="34"/>
      <x:c r="S23" s="34"/>
      <x:c r="T23" s="34"/>
      <x:c r="U23" s="34"/>
      <x:c r="V23" s="34"/>
      <x:c r="W23" s="34"/>
      <x:c r="X23" s="34"/>
      <x:c r="Y23" s="34"/>
      <x:c r="Z23" s="34"/>
      <x:c r="AA23" s="34"/>
    </x:row>
    <x:row r="24" ht="34" customHeight="1">
      <x:c r="A24" s="34"/>
      <x:c r="B24" s="34"/>
      <x:c r="C24" s="34"/>
      <x:c r="D24" s="41"/>
      <x:c r="E24" s="34"/>
      <x:c r="F24" s="34"/>
      <x:c r="G24" s="34"/>
      <x:c r="H24" s="34"/>
      <x:c r="I24" s="35" t="str">
        <x:f>IF(B24="","",IF(COUNTIF('专家金标'!$A$5:$A$204,B24)=0,"未找到金标",IF(H24=INDEX('专家金标'!$J$5:$J$204,MATCH(B24,'专家金标'!$A$5:$A$204,0)),"是","否")))</x:f>
      </x:c>
      <x:c r="J24" s="34"/>
      <x:c r="K24" s="34"/>
      <x:c r="L24" s="34"/>
      <x:c r="M24" s="34"/>
      <x:c r="N24" s="34"/>
      <x:c r="O24" s="34"/>
      <x:c r="P24" s="34"/>
      <x:c r="Q24" s="35" t="str">
        <x:f>IF(B24="","",IF(I24&lt;&gt;"是","不通过",IF(O24&lt;&gt;"否","不通过",IF(H24="ANSWER",IF(AND(K24=2,L24=2,M24=2,N24=2),"通过","不通过"),IF(H24="CONFLICT",IF(AND(K24=2,L24=2,M24=2,N24=2,P24=2),"通过","不通过"),IF(H24="INSUFFICIENT_EVIDENCE","通过","待填写"))))))</x:f>
      </x:c>
      <x:c r="R24" s="34"/>
      <x:c r="S24" s="34"/>
      <x:c r="T24" s="34"/>
      <x:c r="U24" s="34"/>
      <x:c r="V24" s="34"/>
      <x:c r="W24" s="34"/>
      <x:c r="X24" s="34"/>
      <x:c r="Y24" s="34"/>
      <x:c r="Z24" s="34"/>
      <x:c r="AA24" s="34"/>
    </x:row>
    <x:row r="25" ht="34" customHeight="1">
      <x:c r="A25" s="34"/>
      <x:c r="B25" s="34"/>
      <x:c r="C25" s="34"/>
      <x:c r="D25" s="41"/>
      <x:c r="E25" s="34"/>
      <x:c r="F25" s="34"/>
      <x:c r="G25" s="34"/>
      <x:c r="H25" s="34"/>
      <x:c r="I25" s="35" t="str">
        <x:f>IF(B25="","",IF(COUNTIF('专家金标'!$A$5:$A$204,B25)=0,"未找到金标",IF(H25=INDEX('专家金标'!$J$5:$J$204,MATCH(B25,'专家金标'!$A$5:$A$204,0)),"是","否")))</x:f>
      </x:c>
      <x:c r="J25" s="34"/>
      <x:c r="K25" s="34"/>
      <x:c r="L25" s="34"/>
      <x:c r="M25" s="34"/>
      <x:c r="N25" s="34"/>
      <x:c r="O25" s="34"/>
      <x:c r="P25" s="34"/>
      <x:c r="Q25" s="35" t="str">
        <x:f>IF(B25="","",IF(I25&lt;&gt;"是","不通过",IF(O25&lt;&gt;"否","不通过",IF(H25="ANSWER",IF(AND(K25=2,L25=2,M25=2,N25=2),"通过","不通过"),IF(H25="CONFLICT",IF(AND(K25=2,L25=2,M25=2,N25=2,P25=2),"通过","不通过"),IF(H25="INSUFFICIENT_EVIDENCE","通过","待填写"))))))</x:f>
      </x:c>
      <x:c r="R25" s="34"/>
      <x:c r="S25" s="34"/>
      <x:c r="T25" s="34"/>
      <x:c r="U25" s="34"/>
      <x:c r="V25" s="34"/>
      <x:c r="W25" s="34"/>
      <x:c r="X25" s="34"/>
      <x:c r="Y25" s="34"/>
      <x:c r="Z25" s="34"/>
      <x:c r="AA25" s="34"/>
    </x:row>
    <x:row r="26" ht="34" customHeight="1">
      <x:c r="A26" s="34"/>
      <x:c r="B26" s="34"/>
      <x:c r="C26" s="34"/>
      <x:c r="D26" s="41"/>
      <x:c r="E26" s="34"/>
      <x:c r="F26" s="34"/>
      <x:c r="G26" s="34"/>
      <x:c r="H26" s="34"/>
      <x:c r="I26" s="35" t="str">
        <x:f>IF(B26="","",IF(COUNTIF('专家金标'!$A$5:$A$204,B26)=0,"未找到金标",IF(H26=INDEX('专家金标'!$J$5:$J$204,MATCH(B26,'专家金标'!$A$5:$A$204,0)),"是","否")))</x:f>
      </x:c>
      <x:c r="J26" s="34"/>
      <x:c r="K26" s="34"/>
      <x:c r="L26" s="34"/>
      <x:c r="M26" s="34"/>
      <x:c r="N26" s="34"/>
      <x:c r="O26" s="34"/>
      <x:c r="P26" s="34"/>
      <x:c r="Q26" s="35" t="str">
        <x:f>IF(B26="","",IF(I26&lt;&gt;"是","不通过",IF(O26&lt;&gt;"否","不通过",IF(H26="ANSWER",IF(AND(K26=2,L26=2,M26=2,N26=2),"通过","不通过"),IF(H26="CONFLICT",IF(AND(K26=2,L26=2,M26=2,N26=2,P26=2),"通过","不通过"),IF(H26="INSUFFICIENT_EVIDENCE","通过","待填写"))))))</x:f>
      </x:c>
      <x:c r="R26" s="34"/>
      <x:c r="S26" s="34"/>
      <x:c r="T26" s="34"/>
      <x:c r="U26" s="34"/>
      <x:c r="V26" s="34"/>
      <x:c r="W26" s="34"/>
      <x:c r="X26" s="34"/>
      <x:c r="Y26" s="34"/>
      <x:c r="Z26" s="34"/>
      <x:c r="AA26" s="34"/>
    </x:row>
    <x:row r="27" ht="34" customHeight="1">
      <x:c r="A27" s="34"/>
      <x:c r="B27" s="34"/>
      <x:c r="C27" s="34"/>
      <x:c r="D27" s="41"/>
      <x:c r="E27" s="34"/>
      <x:c r="F27" s="34"/>
      <x:c r="G27" s="34"/>
      <x:c r="H27" s="34"/>
      <x:c r="I27" s="35" t="str">
        <x:f>IF(B27="","",IF(COUNTIF('专家金标'!$A$5:$A$204,B27)=0,"未找到金标",IF(H27=INDEX('专家金标'!$J$5:$J$204,MATCH(B27,'专家金标'!$A$5:$A$204,0)),"是","否")))</x:f>
      </x:c>
      <x:c r="J27" s="34"/>
      <x:c r="K27" s="34"/>
      <x:c r="L27" s="34"/>
      <x:c r="M27" s="34"/>
      <x:c r="N27" s="34"/>
      <x:c r="O27" s="34"/>
      <x:c r="P27" s="34"/>
      <x:c r="Q27" s="35" t="str">
        <x:f>IF(B27="","",IF(I27&lt;&gt;"是","不通过",IF(O27&lt;&gt;"否","不通过",IF(H27="ANSWER",IF(AND(K27=2,L27=2,M27=2,N27=2),"通过","不通过"),IF(H27="CONFLICT",IF(AND(K27=2,L27=2,M27=2,N27=2,P27=2),"通过","不通过"),IF(H27="INSUFFICIENT_EVIDENCE","通过","待填写"))))))</x:f>
      </x:c>
      <x:c r="R27" s="34"/>
      <x:c r="S27" s="34"/>
      <x:c r="T27" s="34"/>
      <x:c r="U27" s="34"/>
      <x:c r="V27" s="34"/>
      <x:c r="W27" s="34"/>
      <x:c r="X27" s="34"/>
      <x:c r="Y27" s="34"/>
      <x:c r="Z27" s="34"/>
      <x:c r="AA27" s="34"/>
    </x:row>
    <x:row r="28" ht="34" customHeight="1">
      <x:c r="A28" s="34"/>
      <x:c r="B28" s="34"/>
      <x:c r="C28" s="34"/>
      <x:c r="D28" s="41"/>
      <x:c r="E28" s="34"/>
      <x:c r="F28" s="34"/>
      <x:c r="G28" s="34"/>
      <x:c r="H28" s="34"/>
      <x:c r="I28" s="35" t="str">
        <x:f>IF(B28="","",IF(COUNTIF('专家金标'!$A$5:$A$204,B28)=0,"未找到金标",IF(H28=INDEX('专家金标'!$J$5:$J$204,MATCH(B28,'专家金标'!$A$5:$A$204,0)),"是","否")))</x:f>
      </x:c>
      <x:c r="J28" s="34"/>
      <x:c r="K28" s="34"/>
      <x:c r="L28" s="34"/>
      <x:c r="M28" s="34"/>
      <x:c r="N28" s="34"/>
      <x:c r="O28" s="34"/>
      <x:c r="P28" s="34"/>
      <x:c r="Q28" s="35" t="str">
        <x:f>IF(B28="","",IF(I28&lt;&gt;"是","不通过",IF(O28&lt;&gt;"否","不通过",IF(H28="ANSWER",IF(AND(K28=2,L28=2,M28=2,N28=2),"通过","不通过"),IF(H28="CONFLICT",IF(AND(K28=2,L28=2,M28=2,N28=2,P28=2),"通过","不通过"),IF(H28="INSUFFICIENT_EVIDENCE","通过","待填写"))))))</x:f>
      </x:c>
      <x:c r="R28" s="34"/>
      <x:c r="S28" s="34"/>
      <x:c r="T28" s="34"/>
      <x:c r="U28" s="34"/>
      <x:c r="V28" s="34"/>
      <x:c r="W28" s="34"/>
      <x:c r="X28" s="34"/>
      <x:c r="Y28" s="34"/>
      <x:c r="Z28" s="34"/>
      <x:c r="AA28" s="34"/>
    </x:row>
    <x:row r="29" ht="34" customHeight="1">
      <x:c r="A29" s="34"/>
      <x:c r="B29" s="34"/>
      <x:c r="C29" s="34"/>
      <x:c r="D29" s="41"/>
      <x:c r="E29" s="34"/>
      <x:c r="F29" s="34"/>
      <x:c r="G29" s="34"/>
      <x:c r="H29" s="34"/>
      <x:c r="I29" s="35" t="str">
        <x:f>IF(B29="","",IF(COUNTIF('专家金标'!$A$5:$A$204,B29)=0,"未找到金标",IF(H29=INDEX('专家金标'!$J$5:$J$204,MATCH(B29,'专家金标'!$A$5:$A$204,0)),"是","否")))</x:f>
      </x:c>
      <x:c r="J29" s="34"/>
      <x:c r="K29" s="34"/>
      <x:c r="L29" s="34"/>
      <x:c r="M29" s="34"/>
      <x:c r="N29" s="34"/>
      <x:c r="O29" s="34"/>
      <x:c r="P29" s="34"/>
      <x:c r="Q29" s="35" t="str">
        <x:f>IF(B29="","",IF(I29&lt;&gt;"是","不通过",IF(O29&lt;&gt;"否","不通过",IF(H29="ANSWER",IF(AND(K29=2,L29=2,M29=2,N29=2),"通过","不通过"),IF(H29="CONFLICT",IF(AND(K29=2,L29=2,M29=2,N29=2,P29=2),"通过","不通过"),IF(H29="INSUFFICIENT_EVIDENCE","通过","待填写"))))))</x:f>
      </x:c>
      <x:c r="R29" s="34"/>
      <x:c r="S29" s="34"/>
      <x:c r="T29" s="34"/>
      <x:c r="U29" s="34"/>
      <x:c r="V29" s="34"/>
      <x:c r="W29" s="34"/>
      <x:c r="X29" s="34"/>
      <x:c r="Y29" s="34"/>
      <x:c r="Z29" s="34"/>
      <x:c r="AA29" s="34"/>
    </x:row>
    <x:row r="30" ht="34" customHeight="1">
      <x:c r="A30" s="34"/>
      <x:c r="B30" s="34"/>
      <x:c r="C30" s="34"/>
      <x:c r="D30" s="41"/>
      <x:c r="E30" s="34"/>
      <x:c r="F30" s="34"/>
      <x:c r="G30" s="34"/>
      <x:c r="H30" s="34"/>
      <x:c r="I30" s="35" t="str">
        <x:f>IF(B30="","",IF(COUNTIF('专家金标'!$A$5:$A$204,B30)=0,"未找到金标",IF(H30=INDEX('专家金标'!$J$5:$J$204,MATCH(B30,'专家金标'!$A$5:$A$204,0)),"是","否")))</x:f>
      </x:c>
      <x:c r="J30" s="34"/>
      <x:c r="K30" s="34"/>
      <x:c r="L30" s="34"/>
      <x:c r="M30" s="34"/>
      <x:c r="N30" s="34"/>
      <x:c r="O30" s="34"/>
      <x:c r="P30" s="34"/>
      <x:c r="Q30" s="35" t="str">
        <x:f>IF(B30="","",IF(I30&lt;&gt;"是","不通过",IF(O30&lt;&gt;"否","不通过",IF(H30="ANSWER",IF(AND(K30=2,L30=2,M30=2,N30=2),"通过","不通过"),IF(H30="CONFLICT",IF(AND(K30=2,L30=2,M30=2,N30=2,P30=2),"通过","不通过"),IF(H30="INSUFFICIENT_EVIDENCE","通过","待填写"))))))</x:f>
      </x:c>
      <x:c r="R30" s="34"/>
      <x:c r="S30" s="34"/>
      <x:c r="T30" s="34"/>
      <x:c r="U30" s="34"/>
      <x:c r="V30" s="34"/>
      <x:c r="W30" s="34"/>
      <x:c r="X30" s="34"/>
      <x:c r="Y30" s="34"/>
      <x:c r="Z30" s="34"/>
      <x:c r="AA30" s="34"/>
    </x:row>
    <x:row r="31" ht="34" customHeight="1">
      <x:c r="A31" s="34"/>
      <x:c r="B31" s="34"/>
      <x:c r="C31" s="34"/>
      <x:c r="D31" s="41"/>
      <x:c r="E31" s="34"/>
      <x:c r="F31" s="34"/>
      <x:c r="G31" s="34"/>
      <x:c r="H31" s="34"/>
      <x:c r="I31" s="35" t="str">
        <x:f>IF(B31="","",IF(COUNTIF('专家金标'!$A$5:$A$204,B31)=0,"未找到金标",IF(H31=INDEX('专家金标'!$J$5:$J$204,MATCH(B31,'专家金标'!$A$5:$A$204,0)),"是","否")))</x:f>
      </x:c>
      <x:c r="J31" s="34"/>
      <x:c r="K31" s="34"/>
      <x:c r="L31" s="34"/>
      <x:c r="M31" s="34"/>
      <x:c r="N31" s="34"/>
      <x:c r="O31" s="34"/>
      <x:c r="P31" s="34"/>
      <x:c r="Q31" s="35" t="str">
        <x:f>IF(B31="","",IF(I31&lt;&gt;"是","不通过",IF(O31&lt;&gt;"否","不通过",IF(H31="ANSWER",IF(AND(K31=2,L31=2,M31=2,N31=2),"通过","不通过"),IF(H31="CONFLICT",IF(AND(K31=2,L31=2,M31=2,N31=2,P31=2),"通过","不通过"),IF(H31="INSUFFICIENT_EVIDENCE","通过","待填写"))))))</x:f>
      </x:c>
      <x:c r="R31" s="34"/>
      <x:c r="S31" s="34"/>
      <x:c r="T31" s="34"/>
      <x:c r="U31" s="34"/>
      <x:c r="V31" s="34"/>
      <x:c r="W31" s="34"/>
      <x:c r="X31" s="34"/>
      <x:c r="Y31" s="34"/>
      <x:c r="Z31" s="34"/>
      <x:c r="AA31" s="34"/>
    </x:row>
    <x:row r="32" ht="34" customHeight="1">
      <x:c r="A32" s="34"/>
      <x:c r="B32" s="34"/>
      <x:c r="C32" s="34"/>
      <x:c r="D32" s="41"/>
      <x:c r="E32" s="34"/>
      <x:c r="F32" s="34"/>
      <x:c r="G32" s="34"/>
      <x:c r="H32" s="34"/>
      <x:c r="I32" s="35" t="str">
        <x:f>IF(B32="","",IF(COUNTIF('专家金标'!$A$5:$A$204,B32)=0,"未找到金标",IF(H32=INDEX('专家金标'!$J$5:$J$204,MATCH(B32,'专家金标'!$A$5:$A$204,0)),"是","否")))</x:f>
      </x:c>
      <x:c r="J32" s="34"/>
      <x:c r="K32" s="34"/>
      <x:c r="L32" s="34"/>
      <x:c r="M32" s="34"/>
      <x:c r="N32" s="34"/>
      <x:c r="O32" s="34"/>
      <x:c r="P32" s="34"/>
      <x:c r="Q32" s="35" t="str">
        <x:f>IF(B32="","",IF(I32&lt;&gt;"是","不通过",IF(O32&lt;&gt;"否","不通过",IF(H32="ANSWER",IF(AND(K32=2,L32=2,M32=2,N32=2),"通过","不通过"),IF(H32="CONFLICT",IF(AND(K32=2,L32=2,M32=2,N32=2,P32=2),"通过","不通过"),IF(H32="INSUFFICIENT_EVIDENCE","通过","待填写"))))))</x:f>
      </x:c>
      <x:c r="R32" s="34"/>
      <x:c r="S32" s="34"/>
      <x:c r="T32" s="34"/>
      <x:c r="U32" s="34"/>
      <x:c r="V32" s="34"/>
      <x:c r="W32" s="34"/>
      <x:c r="X32" s="34"/>
      <x:c r="Y32" s="34"/>
      <x:c r="Z32" s="34"/>
      <x:c r="AA32" s="34"/>
    </x:row>
    <x:row r="33" ht="34" customHeight="1">
      <x:c r="A33" s="34"/>
      <x:c r="B33" s="34"/>
      <x:c r="C33" s="34"/>
      <x:c r="D33" s="41"/>
      <x:c r="E33" s="34"/>
      <x:c r="F33" s="34"/>
      <x:c r="G33" s="34"/>
      <x:c r="H33" s="34"/>
      <x:c r="I33" s="35" t="str">
        <x:f>IF(B33="","",IF(COUNTIF('专家金标'!$A$5:$A$204,B33)=0,"未找到金标",IF(H33=INDEX('专家金标'!$J$5:$J$204,MATCH(B33,'专家金标'!$A$5:$A$204,0)),"是","否")))</x:f>
      </x:c>
      <x:c r="J33" s="34"/>
      <x:c r="K33" s="34"/>
      <x:c r="L33" s="34"/>
      <x:c r="M33" s="34"/>
      <x:c r="N33" s="34"/>
      <x:c r="O33" s="34"/>
      <x:c r="P33" s="34"/>
      <x:c r="Q33" s="35" t="str">
        <x:f>IF(B33="","",IF(I33&lt;&gt;"是","不通过",IF(O33&lt;&gt;"否","不通过",IF(H33="ANSWER",IF(AND(K33=2,L33=2,M33=2,N33=2),"通过","不通过"),IF(H33="CONFLICT",IF(AND(K33=2,L33=2,M33=2,N33=2,P33=2),"通过","不通过"),IF(H33="INSUFFICIENT_EVIDENCE","通过","待填写"))))))</x:f>
      </x:c>
      <x:c r="R33" s="34"/>
      <x:c r="S33" s="34"/>
      <x:c r="T33" s="34"/>
      <x:c r="U33" s="34"/>
      <x:c r="V33" s="34"/>
      <x:c r="W33" s="34"/>
      <x:c r="X33" s="34"/>
      <x:c r="Y33" s="34"/>
      <x:c r="Z33" s="34"/>
      <x:c r="AA33" s="34"/>
    </x:row>
    <x:row r="34" ht="34" customHeight="1">
      <x:c r="A34" s="34"/>
      <x:c r="B34" s="34"/>
      <x:c r="C34" s="34"/>
      <x:c r="D34" s="41"/>
      <x:c r="E34" s="34"/>
      <x:c r="F34" s="34"/>
      <x:c r="G34" s="34"/>
      <x:c r="H34" s="34"/>
      <x:c r="I34" s="35" t="str">
        <x:f>IF(B34="","",IF(COUNTIF('专家金标'!$A$5:$A$204,B34)=0,"未找到金标",IF(H34=INDEX('专家金标'!$J$5:$J$204,MATCH(B34,'专家金标'!$A$5:$A$204,0)),"是","否")))</x:f>
      </x:c>
      <x:c r="J34" s="34"/>
      <x:c r="K34" s="34"/>
      <x:c r="L34" s="34"/>
      <x:c r="M34" s="34"/>
      <x:c r="N34" s="34"/>
      <x:c r="O34" s="34"/>
      <x:c r="P34" s="34"/>
      <x:c r="Q34" s="35" t="str">
        <x:f>IF(B34="","",IF(I34&lt;&gt;"是","不通过",IF(O34&lt;&gt;"否","不通过",IF(H34="ANSWER",IF(AND(K34=2,L34=2,M34=2,N34=2),"通过","不通过"),IF(H34="CONFLICT",IF(AND(K34=2,L34=2,M34=2,N34=2,P34=2),"通过","不通过"),IF(H34="INSUFFICIENT_EVIDENCE","通过","待填写"))))))</x:f>
      </x:c>
      <x:c r="R34" s="34"/>
      <x:c r="S34" s="34"/>
      <x:c r="T34" s="34"/>
      <x:c r="U34" s="34"/>
      <x:c r="V34" s="34"/>
      <x:c r="W34" s="34"/>
      <x:c r="X34" s="34"/>
      <x:c r="Y34" s="34"/>
      <x:c r="Z34" s="34"/>
      <x:c r="AA34" s="34"/>
    </x:row>
    <x:row r="35" ht="34" customHeight="1">
      <x:c r="A35" s="34"/>
      <x:c r="B35" s="34"/>
      <x:c r="C35" s="34"/>
      <x:c r="D35" s="41"/>
      <x:c r="E35" s="34"/>
      <x:c r="F35" s="34"/>
      <x:c r="G35" s="34"/>
      <x:c r="H35" s="34"/>
      <x:c r="I35" s="35" t="str">
        <x:f>IF(B35="","",IF(COUNTIF('专家金标'!$A$5:$A$204,B35)=0,"未找到金标",IF(H35=INDEX('专家金标'!$J$5:$J$204,MATCH(B35,'专家金标'!$A$5:$A$204,0)),"是","否")))</x:f>
      </x:c>
      <x:c r="J35" s="34"/>
      <x:c r="K35" s="34"/>
      <x:c r="L35" s="34"/>
      <x:c r="M35" s="34"/>
      <x:c r="N35" s="34"/>
      <x:c r="O35" s="34"/>
      <x:c r="P35" s="34"/>
      <x:c r="Q35" s="35" t="str">
        <x:f>IF(B35="","",IF(I35&lt;&gt;"是","不通过",IF(O35&lt;&gt;"否","不通过",IF(H35="ANSWER",IF(AND(K35=2,L35=2,M35=2,N35=2),"通过","不通过"),IF(H35="CONFLICT",IF(AND(K35=2,L35=2,M35=2,N35=2,P35=2),"通过","不通过"),IF(H35="INSUFFICIENT_EVIDENCE","通过","待填写"))))))</x:f>
      </x:c>
      <x:c r="R35" s="34"/>
      <x:c r="S35" s="34"/>
      <x:c r="T35" s="34"/>
      <x:c r="U35" s="34"/>
      <x:c r="V35" s="34"/>
      <x:c r="W35" s="34"/>
      <x:c r="X35" s="34"/>
      <x:c r="Y35" s="34"/>
      <x:c r="Z35" s="34"/>
      <x:c r="AA35" s="34"/>
    </x:row>
    <x:row r="36" ht="34" customHeight="1">
      <x:c r="A36" s="34"/>
      <x:c r="B36" s="34"/>
      <x:c r="C36" s="34"/>
      <x:c r="D36" s="41"/>
      <x:c r="E36" s="34"/>
      <x:c r="F36" s="34"/>
      <x:c r="G36" s="34"/>
      <x:c r="H36" s="34"/>
      <x:c r="I36" s="35" t="str">
        <x:f>IF(B36="","",IF(COUNTIF('专家金标'!$A$5:$A$204,B36)=0,"未找到金标",IF(H36=INDEX('专家金标'!$J$5:$J$204,MATCH(B36,'专家金标'!$A$5:$A$204,0)),"是","否")))</x:f>
      </x:c>
      <x:c r="J36" s="34"/>
      <x:c r="K36" s="34"/>
      <x:c r="L36" s="34"/>
      <x:c r="M36" s="34"/>
      <x:c r="N36" s="34"/>
      <x:c r="O36" s="34"/>
      <x:c r="P36" s="34"/>
      <x:c r="Q36" s="35" t="str">
        <x:f>IF(B36="","",IF(I36&lt;&gt;"是","不通过",IF(O36&lt;&gt;"否","不通过",IF(H36="ANSWER",IF(AND(K36=2,L36=2,M36=2,N36=2),"通过","不通过"),IF(H36="CONFLICT",IF(AND(K36=2,L36=2,M36=2,N36=2,P36=2),"通过","不通过"),IF(H36="INSUFFICIENT_EVIDENCE","通过","待填写"))))))</x:f>
      </x:c>
      <x:c r="R36" s="34"/>
      <x:c r="S36" s="34"/>
      <x:c r="T36" s="34"/>
      <x:c r="U36" s="34"/>
      <x:c r="V36" s="34"/>
      <x:c r="W36" s="34"/>
      <x:c r="X36" s="34"/>
      <x:c r="Y36" s="34"/>
      <x:c r="Z36" s="34"/>
      <x:c r="AA36" s="34"/>
    </x:row>
    <x:row r="37" ht="34" customHeight="1">
      <x:c r="A37" s="34"/>
      <x:c r="B37" s="34"/>
      <x:c r="C37" s="34"/>
      <x:c r="D37" s="41"/>
      <x:c r="E37" s="34"/>
      <x:c r="F37" s="34"/>
      <x:c r="G37" s="34"/>
      <x:c r="H37" s="34"/>
      <x:c r="I37" s="35" t="str">
        <x:f>IF(B37="","",IF(COUNTIF('专家金标'!$A$5:$A$204,B37)=0,"未找到金标",IF(H37=INDEX('专家金标'!$J$5:$J$204,MATCH(B37,'专家金标'!$A$5:$A$204,0)),"是","否")))</x:f>
      </x:c>
      <x:c r="J37" s="34"/>
      <x:c r="K37" s="34"/>
      <x:c r="L37" s="34"/>
      <x:c r="M37" s="34"/>
      <x:c r="N37" s="34"/>
      <x:c r="O37" s="34"/>
      <x:c r="P37" s="34"/>
      <x:c r="Q37" s="35" t="str">
        <x:f>IF(B37="","",IF(I37&lt;&gt;"是","不通过",IF(O37&lt;&gt;"否","不通过",IF(H37="ANSWER",IF(AND(K37=2,L37=2,M37=2,N37=2),"通过","不通过"),IF(H37="CONFLICT",IF(AND(K37=2,L37=2,M37=2,N37=2,P37=2),"通过","不通过"),IF(H37="INSUFFICIENT_EVIDENCE","通过","待填写"))))))</x:f>
      </x:c>
      <x:c r="R37" s="34"/>
      <x:c r="S37" s="34"/>
      <x:c r="T37" s="34"/>
      <x:c r="U37" s="34"/>
      <x:c r="V37" s="34"/>
      <x:c r="W37" s="34"/>
      <x:c r="X37" s="34"/>
      <x:c r="Y37" s="34"/>
      <x:c r="Z37" s="34"/>
      <x:c r="AA37" s="34"/>
    </x:row>
    <x:row r="38" ht="34" customHeight="1">
      <x:c r="A38" s="34"/>
      <x:c r="B38" s="34"/>
      <x:c r="C38" s="34"/>
      <x:c r="D38" s="41"/>
      <x:c r="E38" s="34"/>
      <x:c r="F38" s="34"/>
      <x:c r="G38" s="34"/>
      <x:c r="H38" s="34"/>
      <x:c r="I38" s="35" t="str">
        <x:f>IF(B38="","",IF(COUNTIF('专家金标'!$A$5:$A$204,B38)=0,"未找到金标",IF(H38=INDEX('专家金标'!$J$5:$J$204,MATCH(B38,'专家金标'!$A$5:$A$204,0)),"是","否")))</x:f>
      </x:c>
      <x:c r="J38" s="34"/>
      <x:c r="K38" s="34"/>
      <x:c r="L38" s="34"/>
      <x:c r="M38" s="34"/>
      <x:c r="N38" s="34"/>
      <x:c r="O38" s="34"/>
      <x:c r="P38" s="34"/>
      <x:c r="Q38" s="35" t="str">
        <x:f>IF(B38="","",IF(I38&lt;&gt;"是","不通过",IF(O38&lt;&gt;"否","不通过",IF(H38="ANSWER",IF(AND(K38=2,L38=2,M38=2,N38=2),"通过","不通过"),IF(H38="CONFLICT",IF(AND(K38=2,L38=2,M38=2,N38=2,P38=2),"通过","不通过"),IF(H38="INSUFFICIENT_EVIDENCE","通过","待填写"))))))</x:f>
      </x:c>
      <x:c r="R38" s="34"/>
      <x:c r="S38" s="34"/>
      <x:c r="T38" s="34"/>
      <x:c r="U38" s="34"/>
      <x:c r="V38" s="34"/>
      <x:c r="W38" s="34"/>
      <x:c r="X38" s="34"/>
      <x:c r="Y38" s="34"/>
      <x:c r="Z38" s="34"/>
      <x:c r="AA38" s="34"/>
    </x:row>
    <x:row r="39" ht="34" customHeight="1">
      <x:c r="A39" s="34"/>
      <x:c r="B39" s="34"/>
      <x:c r="C39" s="34"/>
      <x:c r="D39" s="41"/>
      <x:c r="E39" s="34"/>
      <x:c r="F39" s="34"/>
      <x:c r="G39" s="34"/>
      <x:c r="H39" s="34"/>
      <x:c r="I39" s="35" t="str">
        <x:f>IF(B39="","",IF(COUNTIF('专家金标'!$A$5:$A$204,B39)=0,"未找到金标",IF(H39=INDEX('专家金标'!$J$5:$J$204,MATCH(B39,'专家金标'!$A$5:$A$204,0)),"是","否")))</x:f>
      </x:c>
      <x:c r="J39" s="34"/>
      <x:c r="K39" s="34"/>
      <x:c r="L39" s="34"/>
      <x:c r="M39" s="34"/>
      <x:c r="N39" s="34"/>
      <x:c r="O39" s="34"/>
      <x:c r="P39" s="34"/>
      <x:c r="Q39" s="35" t="str">
        <x:f>IF(B39="","",IF(I39&lt;&gt;"是","不通过",IF(O39&lt;&gt;"否","不通过",IF(H39="ANSWER",IF(AND(K39=2,L39=2,M39=2,N39=2),"通过","不通过"),IF(H39="CONFLICT",IF(AND(K39=2,L39=2,M39=2,N39=2,P39=2),"通过","不通过"),IF(H39="INSUFFICIENT_EVIDENCE","通过","待填写"))))))</x:f>
      </x:c>
      <x:c r="R39" s="34"/>
      <x:c r="S39" s="34"/>
      <x:c r="T39" s="34"/>
      <x:c r="U39" s="34"/>
      <x:c r="V39" s="34"/>
      <x:c r="W39" s="34"/>
      <x:c r="X39" s="34"/>
      <x:c r="Y39" s="34"/>
      <x:c r="Z39" s="34"/>
      <x:c r="AA39" s="34"/>
    </x:row>
    <x:row r="40" ht="34" customHeight="1">
      <x:c r="A40" s="34"/>
      <x:c r="B40" s="34"/>
      <x:c r="C40" s="34"/>
      <x:c r="D40" s="41"/>
      <x:c r="E40" s="34"/>
      <x:c r="F40" s="34"/>
      <x:c r="G40" s="34"/>
      <x:c r="H40" s="34"/>
      <x:c r="I40" s="35" t="str">
        <x:f>IF(B40="","",IF(COUNTIF('专家金标'!$A$5:$A$204,B40)=0,"未找到金标",IF(H40=INDEX('专家金标'!$J$5:$J$204,MATCH(B40,'专家金标'!$A$5:$A$204,0)),"是","否")))</x:f>
      </x:c>
      <x:c r="J40" s="34"/>
      <x:c r="K40" s="34"/>
      <x:c r="L40" s="34"/>
      <x:c r="M40" s="34"/>
      <x:c r="N40" s="34"/>
      <x:c r="O40" s="34"/>
      <x:c r="P40" s="34"/>
      <x:c r="Q40" s="35" t="str">
        <x:f>IF(B40="","",IF(I40&lt;&gt;"是","不通过",IF(O40&lt;&gt;"否","不通过",IF(H40="ANSWER",IF(AND(K40=2,L40=2,M40=2,N40=2),"通过","不通过"),IF(H40="CONFLICT",IF(AND(K40=2,L40=2,M40=2,N40=2,P40=2),"通过","不通过"),IF(H40="INSUFFICIENT_EVIDENCE","通过","待填写"))))))</x:f>
      </x:c>
      <x:c r="R40" s="34"/>
      <x:c r="S40" s="34"/>
      <x:c r="T40" s="34"/>
      <x:c r="U40" s="34"/>
      <x:c r="V40" s="34"/>
      <x:c r="W40" s="34"/>
      <x:c r="X40" s="34"/>
      <x:c r="Y40" s="34"/>
      <x:c r="Z40" s="34"/>
      <x:c r="AA40" s="34"/>
    </x:row>
    <x:row r="41" ht="34" customHeight="1">
      <x:c r="A41" s="34"/>
      <x:c r="B41" s="34"/>
      <x:c r="C41" s="34"/>
      <x:c r="D41" s="41"/>
      <x:c r="E41" s="34"/>
      <x:c r="F41" s="34"/>
      <x:c r="G41" s="34"/>
      <x:c r="H41" s="34"/>
      <x:c r="I41" s="35" t="str">
        <x:f>IF(B41="","",IF(COUNTIF('专家金标'!$A$5:$A$204,B41)=0,"未找到金标",IF(H41=INDEX('专家金标'!$J$5:$J$204,MATCH(B41,'专家金标'!$A$5:$A$204,0)),"是","否")))</x:f>
      </x:c>
      <x:c r="J41" s="34"/>
      <x:c r="K41" s="34"/>
      <x:c r="L41" s="34"/>
      <x:c r="M41" s="34"/>
      <x:c r="N41" s="34"/>
      <x:c r="O41" s="34"/>
      <x:c r="P41" s="34"/>
      <x:c r="Q41" s="35" t="str">
        <x:f>IF(B41="","",IF(I41&lt;&gt;"是","不通过",IF(O41&lt;&gt;"否","不通过",IF(H41="ANSWER",IF(AND(K41=2,L41=2,M41=2,N41=2),"通过","不通过"),IF(H41="CONFLICT",IF(AND(K41=2,L41=2,M41=2,N41=2,P41=2),"通过","不通过"),IF(H41="INSUFFICIENT_EVIDENCE","通过","待填写"))))))</x:f>
      </x:c>
      <x:c r="R41" s="34"/>
      <x:c r="S41" s="34"/>
      <x:c r="T41" s="34"/>
      <x:c r="U41" s="34"/>
      <x:c r="V41" s="34"/>
      <x:c r="W41" s="34"/>
      <x:c r="X41" s="34"/>
      <x:c r="Y41" s="34"/>
      <x:c r="Z41" s="34"/>
      <x:c r="AA41" s="34"/>
    </x:row>
    <x:row r="42" ht="34" customHeight="1">
      <x:c r="A42" s="34"/>
      <x:c r="B42" s="34"/>
      <x:c r="C42" s="34"/>
      <x:c r="D42" s="41"/>
      <x:c r="E42" s="34"/>
      <x:c r="F42" s="34"/>
      <x:c r="G42" s="34"/>
      <x:c r="H42" s="34"/>
      <x:c r="I42" s="35" t="str">
        <x:f>IF(B42="","",IF(COUNTIF('专家金标'!$A$5:$A$204,B42)=0,"未找到金标",IF(H42=INDEX('专家金标'!$J$5:$J$204,MATCH(B42,'专家金标'!$A$5:$A$204,0)),"是","否")))</x:f>
      </x:c>
      <x:c r="J42" s="34"/>
      <x:c r="K42" s="34"/>
      <x:c r="L42" s="34"/>
      <x:c r="M42" s="34"/>
      <x:c r="N42" s="34"/>
      <x:c r="O42" s="34"/>
      <x:c r="P42" s="34"/>
      <x:c r="Q42" s="35" t="str">
        <x:f>IF(B42="","",IF(I42&lt;&gt;"是","不通过",IF(O42&lt;&gt;"否","不通过",IF(H42="ANSWER",IF(AND(K42=2,L42=2,M42=2,N42=2),"通过","不通过"),IF(H42="CONFLICT",IF(AND(K42=2,L42=2,M42=2,N42=2,P42=2),"通过","不通过"),IF(H42="INSUFFICIENT_EVIDENCE","通过","待填写"))))))</x:f>
      </x:c>
      <x:c r="R42" s="34"/>
      <x:c r="S42" s="34"/>
      <x:c r="T42" s="34"/>
      <x:c r="U42" s="34"/>
      <x:c r="V42" s="34"/>
      <x:c r="W42" s="34"/>
      <x:c r="X42" s="34"/>
      <x:c r="Y42" s="34"/>
      <x:c r="Z42" s="34"/>
      <x:c r="AA42" s="34"/>
    </x:row>
    <x:row r="43" ht="34" customHeight="1">
      <x:c r="A43" s="34"/>
      <x:c r="B43" s="34"/>
      <x:c r="C43" s="34"/>
      <x:c r="D43" s="41"/>
      <x:c r="E43" s="34"/>
      <x:c r="F43" s="34"/>
      <x:c r="G43" s="34"/>
      <x:c r="H43" s="34"/>
      <x:c r="I43" s="35" t="str">
        <x:f>IF(B43="","",IF(COUNTIF('专家金标'!$A$5:$A$204,B43)=0,"未找到金标",IF(H43=INDEX('专家金标'!$J$5:$J$204,MATCH(B43,'专家金标'!$A$5:$A$204,0)),"是","否")))</x:f>
      </x:c>
      <x:c r="J43" s="34"/>
      <x:c r="K43" s="34"/>
      <x:c r="L43" s="34"/>
      <x:c r="M43" s="34"/>
      <x:c r="N43" s="34"/>
      <x:c r="O43" s="34"/>
      <x:c r="P43" s="34"/>
      <x:c r="Q43" s="35" t="str">
        <x:f>IF(B43="","",IF(I43&lt;&gt;"是","不通过",IF(O43&lt;&gt;"否","不通过",IF(H43="ANSWER",IF(AND(K43=2,L43=2,M43=2,N43=2),"通过","不通过"),IF(H43="CONFLICT",IF(AND(K43=2,L43=2,M43=2,N43=2,P43=2),"通过","不通过"),IF(H43="INSUFFICIENT_EVIDENCE","通过","待填写"))))))</x:f>
      </x:c>
      <x:c r="R43" s="34"/>
      <x:c r="S43" s="34"/>
      <x:c r="T43" s="34"/>
      <x:c r="U43" s="34"/>
      <x:c r="V43" s="34"/>
      <x:c r="W43" s="34"/>
      <x:c r="X43" s="34"/>
      <x:c r="Y43" s="34"/>
      <x:c r="Z43" s="34"/>
      <x:c r="AA43" s="34"/>
    </x:row>
    <x:row r="44" ht="34" customHeight="1">
      <x:c r="A44" s="34"/>
      <x:c r="B44" s="34"/>
      <x:c r="C44" s="34"/>
      <x:c r="D44" s="41"/>
      <x:c r="E44" s="34"/>
      <x:c r="F44" s="34"/>
      <x:c r="G44" s="34"/>
      <x:c r="H44" s="34"/>
      <x:c r="I44" s="35" t="str">
        <x:f>IF(B44="","",IF(COUNTIF('专家金标'!$A$5:$A$204,B44)=0,"未找到金标",IF(H44=INDEX('专家金标'!$J$5:$J$204,MATCH(B44,'专家金标'!$A$5:$A$204,0)),"是","否")))</x:f>
      </x:c>
      <x:c r="J44" s="34"/>
      <x:c r="K44" s="34"/>
      <x:c r="L44" s="34"/>
      <x:c r="M44" s="34"/>
      <x:c r="N44" s="34"/>
      <x:c r="O44" s="34"/>
      <x:c r="P44" s="34"/>
      <x:c r="Q44" s="35" t="str">
        <x:f>IF(B44="","",IF(I44&lt;&gt;"是","不通过",IF(O44&lt;&gt;"否","不通过",IF(H44="ANSWER",IF(AND(K44=2,L44=2,M44=2,N44=2),"通过","不通过"),IF(H44="CONFLICT",IF(AND(K44=2,L44=2,M44=2,N44=2,P44=2),"通过","不通过"),IF(H44="INSUFFICIENT_EVIDENCE","通过","待填写"))))))</x:f>
      </x:c>
      <x:c r="R44" s="34"/>
      <x:c r="S44" s="34"/>
      <x:c r="T44" s="34"/>
      <x:c r="U44" s="34"/>
      <x:c r="V44" s="34"/>
      <x:c r="W44" s="34"/>
      <x:c r="X44" s="34"/>
      <x:c r="Y44" s="34"/>
      <x:c r="Z44" s="34"/>
      <x:c r="AA44" s="34"/>
    </x:row>
    <x:row r="45" ht="34" customHeight="1">
      <x:c r="A45" s="34"/>
      <x:c r="B45" s="34"/>
      <x:c r="C45" s="34"/>
      <x:c r="D45" s="41"/>
      <x:c r="E45" s="34"/>
      <x:c r="F45" s="34"/>
      <x:c r="G45" s="34"/>
      <x:c r="H45" s="34"/>
      <x:c r="I45" s="35" t="str">
        <x:f>IF(B45="","",IF(COUNTIF('专家金标'!$A$5:$A$204,B45)=0,"未找到金标",IF(H45=INDEX('专家金标'!$J$5:$J$204,MATCH(B45,'专家金标'!$A$5:$A$204,0)),"是","否")))</x:f>
      </x:c>
      <x:c r="J45" s="34"/>
      <x:c r="K45" s="34"/>
      <x:c r="L45" s="34"/>
      <x:c r="M45" s="34"/>
      <x:c r="N45" s="34"/>
      <x:c r="O45" s="34"/>
      <x:c r="P45" s="34"/>
      <x:c r="Q45" s="35" t="str">
        <x:f>IF(B45="","",IF(I45&lt;&gt;"是","不通过",IF(O45&lt;&gt;"否","不通过",IF(H45="ANSWER",IF(AND(K45=2,L45=2,M45=2,N45=2),"通过","不通过"),IF(H45="CONFLICT",IF(AND(K45=2,L45=2,M45=2,N45=2,P45=2),"通过","不通过"),IF(H45="INSUFFICIENT_EVIDENCE","通过","待填写"))))))</x:f>
      </x:c>
      <x:c r="R45" s="34"/>
      <x:c r="S45" s="34"/>
      <x:c r="T45" s="34"/>
      <x:c r="U45" s="34"/>
      <x:c r="V45" s="34"/>
      <x:c r="W45" s="34"/>
      <x:c r="X45" s="34"/>
      <x:c r="Y45" s="34"/>
      <x:c r="Z45" s="34"/>
      <x:c r="AA45" s="34"/>
    </x:row>
    <x:row r="46" ht="34" customHeight="1">
      <x:c r="A46" s="34"/>
      <x:c r="B46" s="34"/>
      <x:c r="C46" s="34"/>
      <x:c r="D46" s="41"/>
      <x:c r="E46" s="34"/>
      <x:c r="F46" s="34"/>
      <x:c r="G46" s="34"/>
      <x:c r="H46" s="34"/>
      <x:c r="I46" s="35" t="str">
        <x:f>IF(B46="","",IF(COUNTIF('专家金标'!$A$5:$A$204,B46)=0,"未找到金标",IF(H46=INDEX('专家金标'!$J$5:$J$204,MATCH(B46,'专家金标'!$A$5:$A$204,0)),"是","否")))</x:f>
      </x:c>
      <x:c r="J46" s="34"/>
      <x:c r="K46" s="34"/>
      <x:c r="L46" s="34"/>
      <x:c r="M46" s="34"/>
      <x:c r="N46" s="34"/>
      <x:c r="O46" s="34"/>
      <x:c r="P46" s="34"/>
      <x:c r="Q46" s="35" t="str">
        <x:f>IF(B46="","",IF(I46&lt;&gt;"是","不通过",IF(O46&lt;&gt;"否","不通过",IF(H46="ANSWER",IF(AND(K46=2,L46=2,M46=2,N46=2),"通过","不通过"),IF(H46="CONFLICT",IF(AND(K46=2,L46=2,M46=2,N46=2,P46=2),"通过","不通过"),IF(H46="INSUFFICIENT_EVIDENCE","通过","待填写"))))))</x:f>
      </x:c>
      <x:c r="R46" s="34"/>
      <x:c r="S46" s="34"/>
      <x:c r="T46" s="34"/>
      <x:c r="U46" s="34"/>
      <x:c r="V46" s="34"/>
      <x:c r="W46" s="34"/>
      <x:c r="X46" s="34"/>
      <x:c r="Y46" s="34"/>
      <x:c r="Z46" s="34"/>
      <x:c r="AA46" s="34"/>
    </x:row>
    <x:row r="47" ht="34" customHeight="1">
      <x:c r="A47" s="34"/>
      <x:c r="B47" s="34"/>
      <x:c r="C47" s="34"/>
      <x:c r="D47" s="41"/>
      <x:c r="E47" s="34"/>
      <x:c r="F47" s="34"/>
      <x:c r="G47" s="34"/>
      <x:c r="H47" s="34"/>
      <x:c r="I47" s="35" t="str">
        <x:f>IF(B47="","",IF(COUNTIF('专家金标'!$A$5:$A$204,B47)=0,"未找到金标",IF(H47=INDEX('专家金标'!$J$5:$J$204,MATCH(B47,'专家金标'!$A$5:$A$204,0)),"是","否")))</x:f>
      </x:c>
      <x:c r="J47" s="34"/>
      <x:c r="K47" s="34"/>
      <x:c r="L47" s="34"/>
      <x:c r="M47" s="34"/>
      <x:c r="N47" s="34"/>
      <x:c r="O47" s="34"/>
      <x:c r="P47" s="34"/>
      <x:c r="Q47" s="35" t="str">
        <x:f>IF(B47="","",IF(I47&lt;&gt;"是","不通过",IF(O47&lt;&gt;"否","不通过",IF(H47="ANSWER",IF(AND(K47=2,L47=2,M47=2,N47=2),"通过","不通过"),IF(H47="CONFLICT",IF(AND(K47=2,L47=2,M47=2,N47=2,P47=2),"通过","不通过"),IF(H47="INSUFFICIENT_EVIDENCE","通过","待填写"))))))</x:f>
      </x:c>
      <x:c r="R47" s="34"/>
      <x:c r="S47" s="34"/>
      <x:c r="T47" s="34"/>
      <x:c r="U47" s="34"/>
      <x:c r="V47" s="34"/>
      <x:c r="W47" s="34"/>
      <x:c r="X47" s="34"/>
      <x:c r="Y47" s="34"/>
      <x:c r="Z47" s="34"/>
      <x:c r="AA47" s="34"/>
    </x:row>
    <x:row r="48" ht="34" customHeight="1">
      <x:c r="A48" s="34"/>
      <x:c r="B48" s="34"/>
      <x:c r="C48" s="34"/>
      <x:c r="D48" s="41"/>
      <x:c r="E48" s="34"/>
      <x:c r="F48" s="34"/>
      <x:c r="G48" s="34"/>
      <x:c r="H48" s="34"/>
      <x:c r="I48" s="35" t="str">
        <x:f>IF(B48="","",IF(COUNTIF('专家金标'!$A$5:$A$204,B48)=0,"未找到金标",IF(H48=INDEX('专家金标'!$J$5:$J$204,MATCH(B48,'专家金标'!$A$5:$A$204,0)),"是","否")))</x:f>
      </x:c>
      <x:c r="J48" s="34"/>
      <x:c r="K48" s="34"/>
      <x:c r="L48" s="34"/>
      <x:c r="M48" s="34"/>
      <x:c r="N48" s="34"/>
      <x:c r="O48" s="34"/>
      <x:c r="P48" s="34"/>
      <x:c r="Q48" s="35" t="str">
        <x:f>IF(B48="","",IF(I48&lt;&gt;"是","不通过",IF(O48&lt;&gt;"否","不通过",IF(H48="ANSWER",IF(AND(K48=2,L48=2,M48=2,N48=2),"通过","不通过"),IF(H48="CONFLICT",IF(AND(K48=2,L48=2,M48=2,N48=2,P48=2),"通过","不通过"),IF(H48="INSUFFICIENT_EVIDENCE","通过","待填写"))))))</x:f>
      </x:c>
      <x:c r="R48" s="34"/>
      <x:c r="S48" s="34"/>
      <x:c r="T48" s="34"/>
      <x:c r="U48" s="34"/>
      <x:c r="V48" s="34"/>
      <x:c r="W48" s="34"/>
      <x:c r="X48" s="34"/>
      <x:c r="Y48" s="34"/>
      <x:c r="Z48" s="34"/>
      <x:c r="AA48" s="34"/>
    </x:row>
    <x:row r="49" ht="34" customHeight="1">
      <x:c r="A49" s="34"/>
      <x:c r="B49" s="34"/>
      <x:c r="C49" s="34"/>
      <x:c r="D49" s="41"/>
      <x:c r="E49" s="34"/>
      <x:c r="F49" s="34"/>
      <x:c r="G49" s="34"/>
      <x:c r="H49" s="34"/>
      <x:c r="I49" s="35" t="str">
        <x:f>IF(B49="","",IF(COUNTIF('专家金标'!$A$5:$A$204,B49)=0,"未找到金标",IF(H49=INDEX('专家金标'!$J$5:$J$204,MATCH(B49,'专家金标'!$A$5:$A$204,0)),"是","否")))</x:f>
      </x:c>
      <x:c r="J49" s="34"/>
      <x:c r="K49" s="34"/>
      <x:c r="L49" s="34"/>
      <x:c r="M49" s="34"/>
      <x:c r="N49" s="34"/>
      <x:c r="O49" s="34"/>
      <x:c r="P49" s="34"/>
      <x:c r="Q49" s="35" t="str">
        <x:f>IF(B49="","",IF(I49&lt;&gt;"是","不通过",IF(O49&lt;&gt;"否","不通过",IF(H49="ANSWER",IF(AND(K49=2,L49=2,M49=2,N49=2),"通过","不通过"),IF(H49="CONFLICT",IF(AND(K49=2,L49=2,M49=2,N49=2,P49=2),"通过","不通过"),IF(H49="INSUFFICIENT_EVIDENCE","通过","待填写"))))))</x:f>
      </x:c>
      <x:c r="R49" s="34"/>
      <x:c r="S49" s="34"/>
      <x:c r="T49" s="34"/>
      <x:c r="U49" s="34"/>
      <x:c r="V49" s="34"/>
      <x:c r="W49" s="34"/>
      <x:c r="X49" s="34"/>
      <x:c r="Y49" s="34"/>
      <x:c r="Z49" s="34"/>
      <x:c r="AA49" s="34"/>
    </x:row>
    <x:row r="50" ht="34" customHeight="1">
      <x:c r="A50" s="34"/>
      <x:c r="B50" s="34"/>
      <x:c r="C50" s="34"/>
      <x:c r="D50" s="41"/>
      <x:c r="E50" s="34"/>
      <x:c r="F50" s="34"/>
      <x:c r="G50" s="34"/>
      <x:c r="H50" s="34"/>
      <x:c r="I50" s="35" t="str">
        <x:f>IF(B50="","",IF(COUNTIF('专家金标'!$A$5:$A$204,B50)=0,"未找到金标",IF(H50=INDEX('专家金标'!$J$5:$J$204,MATCH(B50,'专家金标'!$A$5:$A$204,0)),"是","否")))</x:f>
      </x:c>
      <x:c r="J50" s="34"/>
      <x:c r="K50" s="34"/>
      <x:c r="L50" s="34"/>
      <x:c r="M50" s="34"/>
      <x:c r="N50" s="34"/>
      <x:c r="O50" s="34"/>
      <x:c r="P50" s="34"/>
      <x:c r="Q50" s="35" t="str">
        <x:f>IF(B50="","",IF(I50&lt;&gt;"是","不通过",IF(O50&lt;&gt;"否","不通过",IF(H50="ANSWER",IF(AND(K50=2,L50=2,M50=2,N50=2),"通过","不通过"),IF(H50="CONFLICT",IF(AND(K50=2,L50=2,M50=2,N50=2,P50=2),"通过","不通过"),IF(H50="INSUFFICIENT_EVIDENCE","通过","待填写"))))))</x:f>
      </x:c>
      <x:c r="R50" s="34"/>
      <x:c r="S50" s="34"/>
      <x:c r="T50" s="34"/>
      <x:c r="U50" s="34"/>
      <x:c r="V50" s="34"/>
      <x:c r="W50" s="34"/>
      <x:c r="X50" s="34"/>
      <x:c r="Y50" s="34"/>
      <x:c r="Z50" s="34"/>
      <x:c r="AA50" s="34"/>
    </x:row>
    <x:row r="51" ht="34" customHeight="1">
      <x:c r="A51" s="34"/>
      <x:c r="B51" s="34"/>
      <x:c r="C51" s="34"/>
      <x:c r="D51" s="41"/>
      <x:c r="E51" s="34"/>
      <x:c r="F51" s="34"/>
      <x:c r="G51" s="34"/>
      <x:c r="H51" s="34"/>
      <x:c r="I51" s="35" t="str">
        <x:f>IF(B51="","",IF(COUNTIF('专家金标'!$A$5:$A$204,B51)=0,"未找到金标",IF(H51=INDEX('专家金标'!$J$5:$J$204,MATCH(B51,'专家金标'!$A$5:$A$204,0)),"是","否")))</x:f>
      </x:c>
      <x:c r="J51" s="34"/>
      <x:c r="K51" s="34"/>
      <x:c r="L51" s="34"/>
      <x:c r="M51" s="34"/>
      <x:c r="N51" s="34"/>
      <x:c r="O51" s="34"/>
      <x:c r="P51" s="34"/>
      <x:c r="Q51" s="35" t="str">
        <x:f>IF(B51="","",IF(I51&lt;&gt;"是","不通过",IF(O51&lt;&gt;"否","不通过",IF(H51="ANSWER",IF(AND(K51=2,L51=2,M51=2,N51=2),"通过","不通过"),IF(H51="CONFLICT",IF(AND(K51=2,L51=2,M51=2,N51=2,P51=2),"通过","不通过"),IF(H51="INSUFFICIENT_EVIDENCE","通过","待填写"))))))</x:f>
      </x:c>
      <x:c r="R51" s="34"/>
      <x:c r="S51" s="34"/>
      <x:c r="T51" s="34"/>
      <x:c r="U51" s="34"/>
      <x:c r="V51" s="34"/>
      <x:c r="W51" s="34"/>
      <x:c r="X51" s="34"/>
      <x:c r="Y51" s="34"/>
      <x:c r="Z51" s="34"/>
      <x:c r="AA51" s="34"/>
    </x:row>
    <x:row r="52" ht="34" customHeight="1">
      <x:c r="A52" s="34"/>
      <x:c r="B52" s="34"/>
      <x:c r="C52" s="34"/>
      <x:c r="D52" s="41"/>
      <x:c r="E52" s="34"/>
      <x:c r="F52" s="34"/>
      <x:c r="G52" s="34"/>
      <x:c r="H52" s="34"/>
      <x:c r="I52" s="35" t="str">
        <x:f>IF(B52="","",IF(COUNTIF('专家金标'!$A$5:$A$204,B52)=0,"未找到金标",IF(H52=INDEX('专家金标'!$J$5:$J$204,MATCH(B52,'专家金标'!$A$5:$A$204,0)),"是","否")))</x:f>
      </x:c>
      <x:c r="J52" s="34"/>
      <x:c r="K52" s="34"/>
      <x:c r="L52" s="34"/>
      <x:c r="M52" s="34"/>
      <x:c r="N52" s="34"/>
      <x:c r="O52" s="34"/>
      <x:c r="P52" s="34"/>
      <x:c r="Q52" s="35" t="str">
        <x:f>IF(B52="","",IF(I52&lt;&gt;"是","不通过",IF(O52&lt;&gt;"否","不通过",IF(H52="ANSWER",IF(AND(K52=2,L52=2,M52=2,N52=2),"通过","不通过"),IF(H52="CONFLICT",IF(AND(K52=2,L52=2,M52=2,N52=2,P52=2),"通过","不通过"),IF(H52="INSUFFICIENT_EVIDENCE","通过","待填写"))))))</x:f>
      </x:c>
      <x:c r="R52" s="34"/>
      <x:c r="S52" s="34"/>
      <x:c r="T52" s="34"/>
      <x:c r="U52" s="34"/>
      <x:c r="V52" s="34"/>
      <x:c r="W52" s="34"/>
      <x:c r="X52" s="34"/>
      <x:c r="Y52" s="34"/>
      <x:c r="Z52" s="34"/>
      <x:c r="AA52" s="34"/>
    </x:row>
    <x:row r="53" ht="34" customHeight="1">
      <x:c r="A53" s="34"/>
      <x:c r="B53" s="34"/>
      <x:c r="C53" s="34"/>
      <x:c r="D53" s="41"/>
      <x:c r="E53" s="34"/>
      <x:c r="F53" s="34"/>
      <x:c r="G53" s="34"/>
      <x:c r="H53" s="34"/>
      <x:c r="I53" s="35" t="str">
        <x:f>IF(B53="","",IF(COUNTIF('专家金标'!$A$5:$A$204,B53)=0,"未找到金标",IF(H53=INDEX('专家金标'!$J$5:$J$204,MATCH(B53,'专家金标'!$A$5:$A$204,0)),"是","否")))</x:f>
      </x:c>
      <x:c r="J53" s="34"/>
      <x:c r="K53" s="34"/>
      <x:c r="L53" s="34"/>
      <x:c r="M53" s="34"/>
      <x:c r="N53" s="34"/>
      <x:c r="O53" s="34"/>
      <x:c r="P53" s="34"/>
      <x:c r="Q53" s="35" t="str">
        <x:f>IF(B53="","",IF(I53&lt;&gt;"是","不通过",IF(O53&lt;&gt;"否","不通过",IF(H53="ANSWER",IF(AND(K53=2,L53=2,M53=2,N53=2),"通过","不通过"),IF(H53="CONFLICT",IF(AND(K53=2,L53=2,M53=2,N53=2,P53=2),"通过","不通过"),IF(H53="INSUFFICIENT_EVIDENCE","通过","待填写"))))))</x:f>
      </x:c>
      <x:c r="R53" s="34"/>
      <x:c r="S53" s="34"/>
      <x:c r="T53" s="34"/>
      <x:c r="U53" s="34"/>
      <x:c r="V53" s="34"/>
      <x:c r="W53" s="34"/>
      <x:c r="X53" s="34"/>
      <x:c r="Y53" s="34"/>
      <x:c r="Z53" s="34"/>
      <x:c r="AA53" s="34"/>
    </x:row>
    <x:row r="54" ht="34" customHeight="1">
      <x:c r="A54" s="34"/>
      <x:c r="B54" s="34"/>
      <x:c r="C54" s="34"/>
      <x:c r="D54" s="41"/>
      <x:c r="E54" s="34"/>
      <x:c r="F54" s="34"/>
      <x:c r="G54" s="34"/>
      <x:c r="H54" s="34"/>
      <x:c r="I54" s="35" t="str">
        <x:f>IF(B54="","",IF(COUNTIF('专家金标'!$A$5:$A$204,B54)=0,"未找到金标",IF(H54=INDEX('专家金标'!$J$5:$J$204,MATCH(B54,'专家金标'!$A$5:$A$204,0)),"是","否")))</x:f>
      </x:c>
      <x:c r="J54" s="34"/>
      <x:c r="K54" s="34"/>
      <x:c r="L54" s="34"/>
      <x:c r="M54" s="34"/>
      <x:c r="N54" s="34"/>
      <x:c r="O54" s="34"/>
      <x:c r="P54" s="34"/>
      <x:c r="Q54" s="35" t="str">
        <x:f>IF(B54="","",IF(I54&lt;&gt;"是","不通过",IF(O54&lt;&gt;"否","不通过",IF(H54="ANSWER",IF(AND(K54=2,L54=2,M54=2,N54=2),"通过","不通过"),IF(H54="CONFLICT",IF(AND(K54=2,L54=2,M54=2,N54=2,P54=2),"通过","不通过"),IF(H54="INSUFFICIENT_EVIDENCE","通过","待填写"))))))</x:f>
      </x:c>
      <x:c r="R54" s="34"/>
      <x:c r="S54" s="34"/>
      <x:c r="T54" s="34"/>
      <x:c r="U54" s="34"/>
      <x:c r="V54" s="34"/>
      <x:c r="W54" s="34"/>
      <x:c r="X54" s="34"/>
      <x:c r="Y54" s="34"/>
      <x:c r="Z54" s="34"/>
      <x:c r="AA54" s="34"/>
    </x:row>
    <x:row r="55" ht="34" customHeight="1">
      <x:c r="A55" s="34"/>
      <x:c r="B55" s="34"/>
      <x:c r="C55" s="34"/>
      <x:c r="D55" s="41"/>
      <x:c r="E55" s="34"/>
      <x:c r="F55" s="34"/>
      <x:c r="G55" s="34"/>
      <x:c r="H55" s="34"/>
      <x:c r="I55" s="35" t="str">
        <x:f>IF(B55="","",IF(COUNTIF('专家金标'!$A$5:$A$204,B55)=0,"未找到金标",IF(H55=INDEX('专家金标'!$J$5:$J$204,MATCH(B55,'专家金标'!$A$5:$A$204,0)),"是","否")))</x:f>
      </x:c>
      <x:c r="J55" s="34"/>
      <x:c r="K55" s="34"/>
      <x:c r="L55" s="34"/>
      <x:c r="M55" s="34"/>
      <x:c r="N55" s="34"/>
      <x:c r="O55" s="34"/>
      <x:c r="P55" s="34"/>
      <x:c r="Q55" s="35" t="str">
        <x:f>IF(B55="","",IF(I55&lt;&gt;"是","不通过",IF(O55&lt;&gt;"否","不通过",IF(H55="ANSWER",IF(AND(K55=2,L55=2,M55=2,N55=2),"通过","不通过"),IF(H55="CONFLICT",IF(AND(K55=2,L55=2,M55=2,N55=2,P55=2),"通过","不通过"),IF(H55="INSUFFICIENT_EVIDENCE","通过","待填写"))))))</x:f>
      </x:c>
      <x:c r="R55" s="34"/>
      <x:c r="S55" s="34"/>
      <x:c r="T55" s="34"/>
      <x:c r="U55" s="34"/>
      <x:c r="V55" s="34"/>
      <x:c r="W55" s="34"/>
      <x:c r="X55" s="34"/>
      <x:c r="Y55" s="34"/>
      <x:c r="Z55" s="34"/>
      <x:c r="AA55" s="34"/>
    </x:row>
    <x:row r="56" ht="34" customHeight="1">
      <x:c r="A56" s="34"/>
      <x:c r="B56" s="34"/>
      <x:c r="C56" s="34"/>
      <x:c r="D56" s="41"/>
      <x:c r="E56" s="34"/>
      <x:c r="F56" s="34"/>
      <x:c r="G56" s="34"/>
      <x:c r="H56" s="34"/>
      <x:c r="I56" s="35" t="str">
        <x:f>IF(B56="","",IF(COUNTIF('专家金标'!$A$5:$A$204,B56)=0,"未找到金标",IF(H56=INDEX('专家金标'!$J$5:$J$204,MATCH(B56,'专家金标'!$A$5:$A$204,0)),"是","否")))</x:f>
      </x:c>
      <x:c r="J56" s="34"/>
      <x:c r="K56" s="34"/>
      <x:c r="L56" s="34"/>
      <x:c r="M56" s="34"/>
      <x:c r="N56" s="34"/>
      <x:c r="O56" s="34"/>
      <x:c r="P56" s="34"/>
      <x:c r="Q56" s="35" t="str">
        <x:f>IF(B56="","",IF(I56&lt;&gt;"是","不通过",IF(O56&lt;&gt;"否","不通过",IF(H56="ANSWER",IF(AND(K56=2,L56=2,M56=2,N56=2),"通过","不通过"),IF(H56="CONFLICT",IF(AND(K56=2,L56=2,M56=2,N56=2,P56=2),"通过","不通过"),IF(H56="INSUFFICIENT_EVIDENCE","通过","待填写"))))))</x:f>
      </x:c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</x:row>
    <x:row r="57" ht="34" customHeight="1">
      <x:c r="A57" s="34"/>
      <x:c r="B57" s="34"/>
      <x:c r="C57" s="34"/>
      <x:c r="D57" s="41"/>
      <x:c r="E57" s="34"/>
      <x:c r="F57" s="34"/>
      <x:c r="G57" s="34"/>
      <x:c r="H57" s="34"/>
      <x:c r="I57" s="35" t="str">
        <x:f>IF(B57="","",IF(COUNTIF('专家金标'!$A$5:$A$204,B57)=0,"未找到金标",IF(H57=INDEX('专家金标'!$J$5:$J$204,MATCH(B57,'专家金标'!$A$5:$A$204,0)),"是","否")))</x:f>
      </x:c>
      <x:c r="J57" s="34"/>
      <x:c r="K57" s="34"/>
      <x:c r="L57" s="34"/>
      <x:c r="M57" s="34"/>
      <x:c r="N57" s="34"/>
      <x:c r="O57" s="34"/>
      <x:c r="P57" s="34"/>
      <x:c r="Q57" s="35" t="str">
        <x:f>IF(B57="","",IF(I57&lt;&gt;"是","不通过",IF(O57&lt;&gt;"否","不通过",IF(H57="ANSWER",IF(AND(K57=2,L57=2,M57=2,N57=2),"通过","不通过"),IF(H57="CONFLICT",IF(AND(K57=2,L57=2,M57=2,N57=2,P57=2),"通过","不通过"),IF(H57="INSUFFICIENT_EVIDENCE","通过","待填写"))))))</x:f>
      </x:c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</x:row>
    <x:row r="58" ht="34" customHeight="1">
      <x:c r="A58" s="34"/>
      <x:c r="B58" s="34"/>
      <x:c r="C58" s="34"/>
      <x:c r="D58" s="41"/>
      <x:c r="E58" s="34"/>
      <x:c r="F58" s="34"/>
      <x:c r="G58" s="34"/>
      <x:c r="H58" s="34"/>
      <x:c r="I58" s="35" t="str">
        <x:f>IF(B58="","",IF(COUNTIF('专家金标'!$A$5:$A$204,B58)=0,"未找到金标",IF(H58=INDEX('专家金标'!$J$5:$J$204,MATCH(B58,'专家金标'!$A$5:$A$204,0)),"是","否")))</x:f>
      </x:c>
      <x:c r="J58" s="34"/>
      <x:c r="K58" s="34"/>
      <x:c r="L58" s="34"/>
      <x:c r="M58" s="34"/>
      <x:c r="N58" s="34"/>
      <x:c r="O58" s="34"/>
      <x:c r="P58" s="34"/>
      <x:c r="Q58" s="35" t="str">
        <x:f>IF(B58="","",IF(I58&lt;&gt;"是","不通过",IF(O58&lt;&gt;"否","不通过",IF(H58="ANSWER",IF(AND(K58=2,L58=2,M58=2,N58=2),"通过","不通过"),IF(H58="CONFLICT",IF(AND(K58=2,L58=2,M58=2,N58=2,P58=2),"通过","不通过"),IF(H58="INSUFFICIENT_EVIDENCE","通过","待填写"))))))</x:f>
      </x:c>
      <x:c r="R58" s="34"/>
      <x:c r="S58" s="34"/>
      <x:c r="T58" s="34"/>
      <x:c r="U58" s="34"/>
      <x:c r="V58" s="34"/>
      <x:c r="W58" s="34"/>
      <x:c r="X58" s="34"/>
      <x:c r="Y58" s="34"/>
      <x:c r="Z58" s="34"/>
      <x:c r="AA58" s="34"/>
    </x:row>
    <x:row r="59" ht="34" customHeight="1">
      <x:c r="A59" s="34"/>
      <x:c r="B59" s="34"/>
      <x:c r="C59" s="34"/>
      <x:c r="D59" s="41"/>
      <x:c r="E59" s="34"/>
      <x:c r="F59" s="34"/>
      <x:c r="G59" s="34"/>
      <x:c r="H59" s="34"/>
      <x:c r="I59" s="35" t="str">
        <x:f>IF(B59="","",IF(COUNTIF('专家金标'!$A$5:$A$204,B59)=0,"未找到金标",IF(H59=INDEX('专家金标'!$J$5:$J$204,MATCH(B59,'专家金标'!$A$5:$A$204,0)),"是","否")))</x:f>
      </x:c>
      <x:c r="J59" s="34"/>
      <x:c r="K59" s="34"/>
      <x:c r="L59" s="34"/>
      <x:c r="M59" s="34"/>
      <x:c r="N59" s="34"/>
      <x:c r="O59" s="34"/>
      <x:c r="P59" s="34"/>
      <x:c r="Q59" s="35" t="str">
        <x:f>IF(B59="","",IF(I59&lt;&gt;"是","不通过",IF(O59&lt;&gt;"否","不通过",IF(H59="ANSWER",IF(AND(K59=2,L59=2,M59=2,N59=2),"通过","不通过"),IF(H59="CONFLICT",IF(AND(K59=2,L59=2,M59=2,N59=2,P59=2),"通过","不通过"),IF(H59="INSUFFICIENT_EVIDENCE","通过","待填写"))))))</x:f>
      </x:c>
      <x:c r="R59" s="34"/>
      <x:c r="S59" s="34"/>
      <x:c r="T59" s="34"/>
      <x:c r="U59" s="34"/>
      <x:c r="V59" s="34"/>
      <x:c r="W59" s="34"/>
      <x:c r="X59" s="34"/>
      <x:c r="Y59" s="34"/>
      <x:c r="Z59" s="34"/>
      <x:c r="AA59" s="34"/>
    </x:row>
    <x:row r="60" ht="34" customHeight="1">
      <x:c r="A60" s="34"/>
      <x:c r="B60" s="34"/>
      <x:c r="C60" s="34"/>
      <x:c r="D60" s="41"/>
      <x:c r="E60" s="34"/>
      <x:c r="F60" s="34"/>
      <x:c r="G60" s="34"/>
      <x:c r="H60" s="34"/>
      <x:c r="I60" s="35" t="str">
        <x:f>IF(B60="","",IF(COUNTIF('专家金标'!$A$5:$A$204,B60)=0,"未找到金标",IF(H60=INDEX('专家金标'!$J$5:$J$204,MATCH(B60,'专家金标'!$A$5:$A$204,0)),"是","否")))</x:f>
      </x:c>
      <x:c r="J60" s="34"/>
      <x:c r="K60" s="34"/>
      <x:c r="L60" s="34"/>
      <x:c r="M60" s="34"/>
      <x:c r="N60" s="34"/>
      <x:c r="O60" s="34"/>
      <x:c r="P60" s="34"/>
      <x:c r="Q60" s="35" t="str">
        <x:f>IF(B60="","",IF(I60&lt;&gt;"是","不通过",IF(O60&lt;&gt;"否","不通过",IF(H60="ANSWER",IF(AND(K60=2,L60=2,M60=2,N60=2),"通过","不通过"),IF(H60="CONFLICT",IF(AND(K60=2,L60=2,M60=2,N60=2,P60=2),"通过","不通过"),IF(H60="INSUFFICIENT_EVIDENCE","通过","待填写"))))))</x:f>
      </x:c>
      <x:c r="R60" s="34"/>
      <x:c r="S60" s="34"/>
      <x:c r="T60" s="34"/>
      <x:c r="U60" s="34"/>
      <x:c r="V60" s="34"/>
      <x:c r="W60" s="34"/>
      <x:c r="X60" s="34"/>
      <x:c r="Y60" s="34"/>
      <x:c r="Z60" s="34"/>
      <x:c r="AA60" s="34"/>
    </x:row>
    <x:row r="61" ht="34" customHeight="1">
      <x:c r="A61" s="34"/>
      <x:c r="B61" s="34"/>
      <x:c r="C61" s="34"/>
      <x:c r="D61" s="41"/>
      <x:c r="E61" s="34"/>
      <x:c r="F61" s="34"/>
      <x:c r="G61" s="34"/>
      <x:c r="H61" s="34"/>
      <x:c r="I61" s="35" t="str">
        <x:f>IF(B61="","",IF(COUNTIF('专家金标'!$A$5:$A$204,B61)=0,"未找到金标",IF(H61=INDEX('专家金标'!$J$5:$J$204,MATCH(B61,'专家金标'!$A$5:$A$204,0)),"是","否")))</x:f>
      </x:c>
      <x:c r="J61" s="34"/>
      <x:c r="K61" s="34"/>
      <x:c r="L61" s="34"/>
      <x:c r="M61" s="34"/>
      <x:c r="N61" s="34"/>
      <x:c r="O61" s="34"/>
      <x:c r="P61" s="34"/>
      <x:c r="Q61" s="35" t="str">
        <x:f>IF(B61="","",IF(I61&lt;&gt;"是","不通过",IF(O61&lt;&gt;"否","不通过",IF(H61="ANSWER",IF(AND(K61=2,L61=2,M61=2,N61=2),"通过","不通过"),IF(H61="CONFLICT",IF(AND(K61=2,L61=2,M61=2,N61=2,P61=2),"通过","不通过"),IF(H61="INSUFFICIENT_EVIDENCE","通过","待填写"))))))</x:f>
      </x:c>
      <x:c r="R61" s="34"/>
      <x:c r="S61" s="34"/>
      <x:c r="T61" s="34"/>
      <x:c r="U61" s="34"/>
      <x:c r="V61" s="34"/>
      <x:c r="W61" s="34"/>
      <x:c r="X61" s="34"/>
      <x:c r="Y61" s="34"/>
      <x:c r="Z61" s="34"/>
      <x:c r="AA61" s="34"/>
    </x:row>
    <x:row r="62" ht="34" customHeight="1">
      <x:c r="A62" s="34"/>
      <x:c r="B62" s="34"/>
      <x:c r="C62" s="34"/>
      <x:c r="D62" s="41"/>
      <x:c r="E62" s="34"/>
      <x:c r="F62" s="34"/>
      <x:c r="G62" s="34"/>
      <x:c r="H62" s="34"/>
      <x:c r="I62" s="35" t="str">
        <x:f>IF(B62="","",IF(COUNTIF('专家金标'!$A$5:$A$204,B62)=0,"未找到金标",IF(H62=INDEX('专家金标'!$J$5:$J$204,MATCH(B62,'专家金标'!$A$5:$A$204,0)),"是","否")))</x:f>
      </x:c>
      <x:c r="J62" s="34"/>
      <x:c r="K62" s="34"/>
      <x:c r="L62" s="34"/>
      <x:c r="M62" s="34"/>
      <x:c r="N62" s="34"/>
      <x:c r="O62" s="34"/>
      <x:c r="P62" s="34"/>
      <x:c r="Q62" s="35" t="str">
        <x:f>IF(B62="","",IF(I62&lt;&gt;"是","不通过",IF(O62&lt;&gt;"否","不通过",IF(H62="ANSWER",IF(AND(K62=2,L62=2,M62=2,N62=2),"通过","不通过"),IF(H62="CONFLICT",IF(AND(K62=2,L62=2,M62=2,N62=2,P62=2),"通过","不通过"),IF(H62="INSUFFICIENT_EVIDENCE","通过","待填写"))))))</x:f>
      </x:c>
      <x:c r="R62" s="34"/>
      <x:c r="S62" s="34"/>
      <x:c r="T62" s="34"/>
      <x:c r="U62" s="34"/>
      <x:c r="V62" s="34"/>
      <x:c r="W62" s="34"/>
      <x:c r="X62" s="34"/>
      <x:c r="Y62" s="34"/>
      <x:c r="Z62" s="34"/>
      <x:c r="AA62" s="34"/>
    </x:row>
    <x:row r="63" ht="34" customHeight="1">
      <x:c r="A63" s="34"/>
      <x:c r="B63" s="34"/>
      <x:c r="C63" s="34"/>
      <x:c r="D63" s="41"/>
      <x:c r="E63" s="34"/>
      <x:c r="F63" s="34"/>
      <x:c r="G63" s="34"/>
      <x:c r="H63" s="34"/>
      <x:c r="I63" s="35" t="str">
        <x:f>IF(B63="","",IF(COUNTIF('专家金标'!$A$5:$A$204,B63)=0,"未找到金标",IF(H63=INDEX('专家金标'!$J$5:$J$204,MATCH(B63,'专家金标'!$A$5:$A$204,0)),"是","否")))</x:f>
      </x:c>
      <x:c r="J63" s="34"/>
      <x:c r="K63" s="34"/>
      <x:c r="L63" s="34"/>
      <x:c r="M63" s="34"/>
      <x:c r="N63" s="34"/>
      <x:c r="O63" s="34"/>
      <x:c r="P63" s="34"/>
      <x:c r="Q63" s="35" t="str">
        <x:f>IF(B63="","",IF(I63&lt;&gt;"是","不通过",IF(O63&lt;&gt;"否","不通过",IF(H63="ANSWER",IF(AND(K63=2,L63=2,M63=2,N63=2),"通过","不通过"),IF(H63="CONFLICT",IF(AND(K63=2,L63=2,M63=2,N63=2,P63=2),"通过","不通过"),IF(H63="INSUFFICIENT_EVIDENCE","通过","待填写"))))))</x:f>
      </x:c>
      <x:c r="R63" s="34"/>
      <x:c r="S63" s="34"/>
      <x:c r="T63" s="34"/>
      <x:c r="U63" s="34"/>
      <x:c r="V63" s="34"/>
      <x:c r="W63" s="34"/>
      <x:c r="X63" s="34"/>
      <x:c r="Y63" s="34"/>
      <x:c r="Z63" s="34"/>
      <x:c r="AA63" s="34"/>
    </x:row>
    <x:row r="64" ht="34" customHeight="1">
      <x:c r="A64" s="34"/>
      <x:c r="B64" s="34"/>
      <x:c r="C64" s="34"/>
      <x:c r="D64" s="41"/>
      <x:c r="E64" s="34"/>
      <x:c r="F64" s="34"/>
      <x:c r="G64" s="34"/>
      <x:c r="H64" s="34"/>
      <x:c r="I64" s="35" t="str">
        <x:f>IF(B64="","",IF(COUNTIF('专家金标'!$A$5:$A$204,B64)=0,"未找到金标",IF(H64=INDEX('专家金标'!$J$5:$J$204,MATCH(B64,'专家金标'!$A$5:$A$204,0)),"是","否")))</x:f>
      </x:c>
      <x:c r="J64" s="34"/>
      <x:c r="K64" s="34"/>
      <x:c r="L64" s="34"/>
      <x:c r="M64" s="34"/>
      <x:c r="N64" s="34"/>
      <x:c r="O64" s="34"/>
      <x:c r="P64" s="34"/>
      <x:c r="Q64" s="35" t="str">
        <x:f>IF(B64="","",IF(I64&lt;&gt;"是","不通过",IF(O64&lt;&gt;"否","不通过",IF(H64="ANSWER",IF(AND(K64=2,L64=2,M64=2,N64=2),"通过","不通过"),IF(H64="CONFLICT",IF(AND(K64=2,L64=2,M64=2,N64=2,P64=2),"通过","不通过"),IF(H64="INSUFFICIENT_EVIDENCE","通过","待填写"))))))</x:f>
      </x:c>
      <x:c r="R64" s="34"/>
      <x:c r="S64" s="34"/>
      <x:c r="T64" s="34"/>
      <x:c r="U64" s="34"/>
      <x:c r="V64" s="34"/>
      <x:c r="W64" s="34"/>
      <x:c r="X64" s="34"/>
      <x:c r="Y64" s="34"/>
      <x:c r="Z64" s="34"/>
      <x:c r="AA64" s="34"/>
    </x:row>
    <x:row r="65" ht="34" customHeight="1">
      <x:c r="A65" s="34"/>
      <x:c r="B65" s="34"/>
      <x:c r="C65" s="34"/>
      <x:c r="D65" s="41"/>
      <x:c r="E65" s="34"/>
      <x:c r="F65" s="34"/>
      <x:c r="G65" s="34"/>
      <x:c r="H65" s="34"/>
      <x:c r="I65" s="35" t="str">
        <x:f>IF(B65="","",IF(COUNTIF('专家金标'!$A$5:$A$204,B65)=0,"未找到金标",IF(H65=INDEX('专家金标'!$J$5:$J$204,MATCH(B65,'专家金标'!$A$5:$A$204,0)),"是","否")))</x:f>
      </x:c>
      <x:c r="J65" s="34"/>
      <x:c r="K65" s="34"/>
      <x:c r="L65" s="34"/>
      <x:c r="M65" s="34"/>
      <x:c r="N65" s="34"/>
      <x:c r="O65" s="34"/>
      <x:c r="P65" s="34"/>
      <x:c r="Q65" s="35" t="str">
        <x:f>IF(B65="","",IF(I65&lt;&gt;"是","不通过",IF(O65&lt;&gt;"否","不通过",IF(H65="ANSWER",IF(AND(K65=2,L65=2,M65=2,N65=2),"通过","不通过"),IF(H65="CONFLICT",IF(AND(K65=2,L65=2,M65=2,N65=2,P65=2),"通过","不通过"),IF(H65="INSUFFICIENT_EVIDENCE","通过","待填写"))))))</x:f>
      </x:c>
      <x:c r="R65" s="34"/>
      <x:c r="S65" s="34"/>
      <x:c r="T65" s="34"/>
      <x:c r="U65" s="34"/>
      <x:c r="V65" s="34"/>
      <x:c r="W65" s="34"/>
      <x:c r="X65" s="34"/>
      <x:c r="Y65" s="34"/>
      <x:c r="Z65" s="34"/>
      <x:c r="AA65" s="34"/>
    </x:row>
    <x:row r="66" ht="34" customHeight="1">
      <x:c r="A66" s="34"/>
      <x:c r="B66" s="34"/>
      <x:c r="C66" s="34"/>
      <x:c r="D66" s="41"/>
      <x:c r="E66" s="34"/>
      <x:c r="F66" s="34"/>
      <x:c r="G66" s="34"/>
      <x:c r="H66" s="34"/>
      <x:c r="I66" s="35" t="str">
        <x:f>IF(B66="","",IF(COUNTIF('专家金标'!$A$5:$A$204,B66)=0,"未找到金标",IF(H66=INDEX('专家金标'!$J$5:$J$204,MATCH(B66,'专家金标'!$A$5:$A$204,0)),"是","否")))</x:f>
      </x:c>
      <x:c r="J66" s="34"/>
      <x:c r="K66" s="34"/>
      <x:c r="L66" s="34"/>
      <x:c r="M66" s="34"/>
      <x:c r="N66" s="34"/>
      <x:c r="O66" s="34"/>
      <x:c r="P66" s="34"/>
      <x:c r="Q66" s="35" t="str">
        <x:f>IF(B66="","",IF(I66&lt;&gt;"是","不通过",IF(O66&lt;&gt;"否","不通过",IF(H66="ANSWER",IF(AND(K66=2,L66=2,M66=2,N66=2),"通过","不通过"),IF(H66="CONFLICT",IF(AND(K66=2,L66=2,M66=2,N66=2,P66=2),"通过","不通过"),IF(H66="INSUFFICIENT_EVIDENCE","通过","待填写"))))))</x:f>
      </x:c>
      <x:c r="R66" s="34"/>
      <x:c r="S66" s="34"/>
      <x:c r="T66" s="34"/>
      <x:c r="U66" s="34"/>
      <x:c r="V66" s="34"/>
      <x:c r="W66" s="34"/>
      <x:c r="X66" s="34"/>
      <x:c r="Y66" s="34"/>
      <x:c r="Z66" s="34"/>
      <x:c r="AA66" s="34"/>
    </x:row>
    <x:row r="67" ht="34" customHeight="1">
      <x:c r="A67" s="34"/>
      <x:c r="B67" s="34"/>
      <x:c r="C67" s="34"/>
      <x:c r="D67" s="41"/>
      <x:c r="E67" s="34"/>
      <x:c r="F67" s="34"/>
      <x:c r="G67" s="34"/>
      <x:c r="H67" s="34"/>
      <x:c r="I67" s="35" t="str">
        <x:f>IF(B67="","",IF(COUNTIF('专家金标'!$A$5:$A$204,B67)=0,"未找到金标",IF(H67=INDEX('专家金标'!$J$5:$J$204,MATCH(B67,'专家金标'!$A$5:$A$204,0)),"是","否")))</x:f>
      </x:c>
      <x:c r="J67" s="34"/>
      <x:c r="K67" s="34"/>
      <x:c r="L67" s="34"/>
      <x:c r="M67" s="34"/>
      <x:c r="N67" s="34"/>
      <x:c r="O67" s="34"/>
      <x:c r="P67" s="34"/>
      <x:c r="Q67" s="35" t="str">
        <x:f>IF(B67="","",IF(I67&lt;&gt;"是","不通过",IF(O67&lt;&gt;"否","不通过",IF(H67="ANSWER",IF(AND(K67=2,L67=2,M67=2,N67=2),"通过","不通过"),IF(H67="CONFLICT",IF(AND(K67=2,L67=2,M67=2,N67=2,P67=2),"通过","不通过"),IF(H67="INSUFFICIENT_EVIDENCE","通过","待填写"))))))</x:f>
      </x:c>
      <x:c r="R67" s="34"/>
      <x:c r="S67" s="34"/>
      <x:c r="T67" s="34"/>
      <x:c r="U67" s="34"/>
      <x:c r="V67" s="34"/>
      <x:c r="W67" s="34"/>
      <x:c r="X67" s="34"/>
      <x:c r="Y67" s="34"/>
      <x:c r="Z67" s="34"/>
      <x:c r="AA67" s="34"/>
    </x:row>
    <x:row r="68" ht="34" customHeight="1">
      <x:c r="A68" s="34"/>
      <x:c r="B68" s="34"/>
      <x:c r="C68" s="34"/>
      <x:c r="D68" s="41"/>
      <x:c r="E68" s="34"/>
      <x:c r="F68" s="34"/>
      <x:c r="G68" s="34"/>
      <x:c r="H68" s="34"/>
      <x:c r="I68" s="35" t="str">
        <x:f>IF(B68="","",IF(COUNTIF('专家金标'!$A$5:$A$204,B68)=0,"未找到金标",IF(H68=INDEX('专家金标'!$J$5:$J$204,MATCH(B68,'专家金标'!$A$5:$A$204,0)),"是","否")))</x:f>
      </x:c>
      <x:c r="J68" s="34"/>
      <x:c r="K68" s="34"/>
      <x:c r="L68" s="34"/>
      <x:c r="M68" s="34"/>
      <x:c r="N68" s="34"/>
      <x:c r="O68" s="34"/>
      <x:c r="P68" s="34"/>
      <x:c r="Q68" s="35" t="str">
        <x:f>IF(B68="","",IF(I68&lt;&gt;"是","不通过",IF(O68&lt;&gt;"否","不通过",IF(H68="ANSWER",IF(AND(K68=2,L68=2,M68=2,N68=2),"通过","不通过"),IF(H68="CONFLICT",IF(AND(K68=2,L68=2,M68=2,N68=2,P68=2),"通过","不通过"),IF(H68="INSUFFICIENT_EVIDENCE","通过","待填写"))))))</x:f>
      </x:c>
      <x:c r="R68" s="34"/>
      <x:c r="S68" s="34"/>
      <x:c r="T68" s="34"/>
      <x:c r="U68" s="34"/>
      <x:c r="V68" s="34"/>
      <x:c r="W68" s="34"/>
      <x:c r="X68" s="34"/>
      <x:c r="Y68" s="34"/>
      <x:c r="Z68" s="34"/>
      <x:c r="AA68" s="34"/>
    </x:row>
    <x:row r="69" ht="34" customHeight="1">
      <x:c r="A69" s="34"/>
      <x:c r="B69" s="34"/>
      <x:c r="C69" s="34"/>
      <x:c r="D69" s="41"/>
      <x:c r="E69" s="34"/>
      <x:c r="F69" s="34"/>
      <x:c r="G69" s="34"/>
      <x:c r="H69" s="34"/>
      <x:c r="I69" s="35" t="str">
        <x:f>IF(B69="","",IF(COUNTIF('专家金标'!$A$5:$A$204,B69)=0,"未找到金标",IF(H69=INDEX('专家金标'!$J$5:$J$204,MATCH(B69,'专家金标'!$A$5:$A$204,0)),"是","否")))</x:f>
      </x:c>
      <x:c r="J69" s="34"/>
      <x:c r="K69" s="34"/>
      <x:c r="L69" s="34"/>
      <x:c r="M69" s="34"/>
      <x:c r="N69" s="34"/>
      <x:c r="O69" s="34"/>
      <x:c r="P69" s="34"/>
      <x:c r="Q69" s="35" t="str">
        <x:f>IF(B69="","",IF(I69&lt;&gt;"是","不通过",IF(O69&lt;&gt;"否","不通过",IF(H69="ANSWER",IF(AND(K69=2,L69=2,M69=2,N69=2),"通过","不通过"),IF(H69="CONFLICT",IF(AND(K69=2,L69=2,M69=2,N69=2,P69=2),"通过","不通过"),IF(H69="INSUFFICIENT_EVIDENCE","通过","待填写"))))))</x:f>
      </x:c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</x:row>
    <x:row r="70" ht="34" customHeight="1">
      <x:c r="A70" s="34"/>
      <x:c r="B70" s="34"/>
      <x:c r="C70" s="34"/>
      <x:c r="D70" s="41"/>
      <x:c r="E70" s="34"/>
      <x:c r="F70" s="34"/>
      <x:c r="G70" s="34"/>
      <x:c r="H70" s="34"/>
      <x:c r="I70" s="35" t="str">
        <x:f>IF(B70="","",IF(COUNTIF('专家金标'!$A$5:$A$204,B70)=0,"未找到金标",IF(H70=INDEX('专家金标'!$J$5:$J$204,MATCH(B70,'专家金标'!$A$5:$A$204,0)),"是","否")))</x:f>
      </x:c>
      <x:c r="J70" s="34"/>
      <x:c r="K70" s="34"/>
      <x:c r="L70" s="34"/>
      <x:c r="M70" s="34"/>
      <x:c r="N70" s="34"/>
      <x:c r="O70" s="34"/>
      <x:c r="P70" s="34"/>
      <x:c r="Q70" s="35" t="str">
        <x:f>IF(B70="","",IF(I70&lt;&gt;"是","不通过",IF(O70&lt;&gt;"否","不通过",IF(H70="ANSWER",IF(AND(K70=2,L70=2,M70=2,N70=2),"通过","不通过"),IF(H70="CONFLICT",IF(AND(K70=2,L70=2,M70=2,N70=2,P70=2),"通过","不通过"),IF(H70="INSUFFICIENT_EVIDENCE","通过","待填写"))))))</x:f>
      </x:c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</x:row>
    <x:row r="71" ht="34" customHeight="1">
      <x:c r="A71" s="34"/>
      <x:c r="B71" s="34"/>
      <x:c r="C71" s="34"/>
      <x:c r="D71" s="41"/>
      <x:c r="E71" s="34"/>
      <x:c r="F71" s="34"/>
      <x:c r="G71" s="34"/>
      <x:c r="H71" s="34"/>
      <x:c r="I71" s="35" t="str">
        <x:f>IF(B71="","",IF(COUNTIF('专家金标'!$A$5:$A$204,B71)=0,"未找到金标",IF(H71=INDEX('专家金标'!$J$5:$J$204,MATCH(B71,'专家金标'!$A$5:$A$204,0)),"是","否")))</x:f>
      </x:c>
      <x:c r="J71" s="34"/>
      <x:c r="K71" s="34"/>
      <x:c r="L71" s="34"/>
      <x:c r="M71" s="34"/>
      <x:c r="N71" s="34"/>
      <x:c r="O71" s="34"/>
      <x:c r="P71" s="34"/>
      <x:c r="Q71" s="35" t="str">
        <x:f>IF(B71="","",IF(I71&lt;&gt;"是","不通过",IF(O71&lt;&gt;"否","不通过",IF(H71="ANSWER",IF(AND(K71=2,L71=2,M71=2,N71=2),"通过","不通过"),IF(H71="CONFLICT",IF(AND(K71=2,L71=2,M71=2,N71=2,P71=2),"通过","不通过"),IF(H71="INSUFFICIENT_EVIDENCE","通过","待填写"))))))</x:f>
      </x:c>
      <x:c r="R71" s="34"/>
      <x:c r="S71" s="34"/>
      <x:c r="T71" s="34"/>
      <x:c r="U71" s="34"/>
      <x:c r="V71" s="34"/>
      <x:c r="W71" s="34"/>
      <x:c r="X71" s="34"/>
      <x:c r="Y71" s="34"/>
      <x:c r="Z71" s="34"/>
      <x:c r="AA71" s="34"/>
    </x:row>
    <x:row r="72" ht="34" customHeight="1">
      <x:c r="A72" s="34"/>
      <x:c r="B72" s="34"/>
      <x:c r="C72" s="34"/>
      <x:c r="D72" s="41"/>
      <x:c r="E72" s="34"/>
      <x:c r="F72" s="34"/>
      <x:c r="G72" s="34"/>
      <x:c r="H72" s="34"/>
      <x:c r="I72" s="35" t="str">
        <x:f>IF(B72="","",IF(COUNTIF('专家金标'!$A$5:$A$204,B72)=0,"未找到金标",IF(H72=INDEX('专家金标'!$J$5:$J$204,MATCH(B72,'专家金标'!$A$5:$A$204,0)),"是","否")))</x:f>
      </x:c>
      <x:c r="J72" s="34"/>
      <x:c r="K72" s="34"/>
      <x:c r="L72" s="34"/>
      <x:c r="M72" s="34"/>
      <x:c r="N72" s="34"/>
      <x:c r="O72" s="34"/>
      <x:c r="P72" s="34"/>
      <x:c r="Q72" s="35" t="str">
        <x:f>IF(B72="","",IF(I72&lt;&gt;"是","不通过",IF(O72&lt;&gt;"否","不通过",IF(H72="ANSWER",IF(AND(K72=2,L72=2,M72=2,N72=2),"通过","不通过"),IF(H72="CONFLICT",IF(AND(K72=2,L72=2,M72=2,N72=2,P72=2),"通过","不通过"),IF(H72="INSUFFICIENT_EVIDENCE","通过","待填写"))))))</x:f>
      </x:c>
      <x:c r="R72" s="34"/>
      <x:c r="S72" s="34"/>
      <x:c r="T72" s="34"/>
      <x:c r="U72" s="34"/>
      <x:c r="V72" s="34"/>
      <x:c r="W72" s="34"/>
      <x:c r="X72" s="34"/>
      <x:c r="Y72" s="34"/>
      <x:c r="Z72" s="34"/>
      <x:c r="AA72" s="34"/>
    </x:row>
    <x:row r="73" ht="34" customHeight="1">
      <x:c r="A73" s="34"/>
      <x:c r="B73" s="34"/>
      <x:c r="C73" s="34"/>
      <x:c r="D73" s="41"/>
      <x:c r="E73" s="34"/>
      <x:c r="F73" s="34"/>
      <x:c r="G73" s="34"/>
      <x:c r="H73" s="34"/>
      <x:c r="I73" s="35" t="str">
        <x:f>IF(B73="","",IF(COUNTIF('专家金标'!$A$5:$A$204,B73)=0,"未找到金标",IF(H73=INDEX('专家金标'!$J$5:$J$204,MATCH(B73,'专家金标'!$A$5:$A$204,0)),"是","否")))</x:f>
      </x:c>
      <x:c r="J73" s="34"/>
      <x:c r="K73" s="34"/>
      <x:c r="L73" s="34"/>
      <x:c r="M73" s="34"/>
      <x:c r="N73" s="34"/>
      <x:c r="O73" s="34"/>
      <x:c r="P73" s="34"/>
      <x:c r="Q73" s="35" t="str">
        <x:f>IF(B73="","",IF(I73&lt;&gt;"是","不通过",IF(O73&lt;&gt;"否","不通过",IF(H73="ANSWER",IF(AND(K73=2,L73=2,M73=2,N73=2),"通过","不通过"),IF(H73="CONFLICT",IF(AND(K73=2,L73=2,M73=2,N73=2,P73=2),"通过","不通过"),IF(H73="INSUFFICIENT_EVIDENCE","通过","待填写"))))))</x:f>
      </x:c>
      <x:c r="R73" s="34"/>
      <x:c r="S73" s="34"/>
      <x:c r="T73" s="34"/>
      <x:c r="U73" s="34"/>
      <x:c r="V73" s="34"/>
      <x:c r="W73" s="34"/>
      <x:c r="X73" s="34"/>
      <x:c r="Y73" s="34"/>
      <x:c r="Z73" s="34"/>
      <x:c r="AA73" s="34"/>
    </x:row>
    <x:row r="74" ht="34" customHeight="1">
      <x:c r="A74" s="34"/>
      <x:c r="B74" s="34"/>
      <x:c r="C74" s="34"/>
      <x:c r="D74" s="41"/>
      <x:c r="E74" s="34"/>
      <x:c r="F74" s="34"/>
      <x:c r="G74" s="34"/>
      <x:c r="H74" s="34"/>
      <x:c r="I74" s="35" t="str">
        <x:f>IF(B74="","",IF(COUNTIF('专家金标'!$A$5:$A$204,B74)=0,"未找到金标",IF(H74=INDEX('专家金标'!$J$5:$J$204,MATCH(B74,'专家金标'!$A$5:$A$204,0)),"是","否")))</x:f>
      </x:c>
      <x:c r="J74" s="34"/>
      <x:c r="K74" s="34"/>
      <x:c r="L74" s="34"/>
      <x:c r="M74" s="34"/>
      <x:c r="N74" s="34"/>
      <x:c r="O74" s="34"/>
      <x:c r="P74" s="34"/>
      <x:c r="Q74" s="35" t="str">
        <x:f>IF(B74="","",IF(I74&lt;&gt;"是","不通过",IF(O74&lt;&gt;"否","不通过",IF(H74="ANSWER",IF(AND(K74=2,L74=2,M74=2,N74=2),"通过","不通过"),IF(H74="CONFLICT",IF(AND(K74=2,L74=2,M74=2,N74=2,P74=2),"通过","不通过"),IF(H74="INSUFFICIENT_EVIDENCE","通过","待填写"))))))</x:f>
      </x:c>
      <x:c r="R74" s="34"/>
      <x:c r="S74" s="34"/>
      <x:c r="T74" s="34"/>
      <x:c r="U74" s="34"/>
      <x:c r="V74" s="34"/>
      <x:c r="W74" s="34"/>
      <x:c r="X74" s="34"/>
      <x:c r="Y74" s="34"/>
      <x:c r="Z74" s="34"/>
      <x:c r="AA74" s="34"/>
    </x:row>
    <x:row r="75" ht="34" customHeight="1">
      <x:c r="A75" s="34"/>
      <x:c r="B75" s="34"/>
      <x:c r="C75" s="34"/>
      <x:c r="D75" s="41"/>
      <x:c r="E75" s="34"/>
      <x:c r="F75" s="34"/>
      <x:c r="G75" s="34"/>
      <x:c r="H75" s="34"/>
      <x:c r="I75" s="35" t="str">
        <x:f>IF(B75="","",IF(COUNTIF('专家金标'!$A$5:$A$204,B75)=0,"未找到金标",IF(H75=INDEX('专家金标'!$J$5:$J$204,MATCH(B75,'专家金标'!$A$5:$A$204,0)),"是","否")))</x:f>
      </x:c>
      <x:c r="J75" s="34"/>
      <x:c r="K75" s="34"/>
      <x:c r="L75" s="34"/>
      <x:c r="M75" s="34"/>
      <x:c r="N75" s="34"/>
      <x:c r="O75" s="34"/>
      <x:c r="P75" s="34"/>
      <x:c r="Q75" s="35" t="str">
        <x:f>IF(B75="","",IF(I75&lt;&gt;"是","不通过",IF(O75&lt;&gt;"否","不通过",IF(H75="ANSWER",IF(AND(K75=2,L75=2,M75=2,N75=2),"通过","不通过"),IF(H75="CONFLICT",IF(AND(K75=2,L75=2,M75=2,N75=2,P75=2),"通过","不通过"),IF(H75="INSUFFICIENT_EVIDENCE","通过","待填写"))))))</x:f>
      </x:c>
      <x:c r="R75" s="34"/>
      <x:c r="S75" s="34"/>
      <x:c r="T75" s="34"/>
      <x:c r="U75" s="34"/>
      <x:c r="V75" s="34"/>
      <x:c r="W75" s="34"/>
      <x:c r="X75" s="34"/>
      <x:c r="Y75" s="34"/>
      <x:c r="Z75" s="34"/>
      <x:c r="AA75" s="34"/>
    </x:row>
    <x:row r="76" ht="34" customHeight="1">
      <x:c r="A76" s="34"/>
      <x:c r="B76" s="34"/>
      <x:c r="C76" s="34"/>
      <x:c r="D76" s="41"/>
      <x:c r="E76" s="34"/>
      <x:c r="F76" s="34"/>
      <x:c r="G76" s="34"/>
      <x:c r="H76" s="34"/>
      <x:c r="I76" s="35" t="str">
        <x:f>IF(B76="","",IF(COUNTIF('专家金标'!$A$5:$A$204,B76)=0,"未找到金标",IF(H76=INDEX('专家金标'!$J$5:$J$204,MATCH(B76,'专家金标'!$A$5:$A$204,0)),"是","否")))</x:f>
      </x:c>
      <x:c r="J76" s="34"/>
      <x:c r="K76" s="34"/>
      <x:c r="L76" s="34"/>
      <x:c r="M76" s="34"/>
      <x:c r="N76" s="34"/>
      <x:c r="O76" s="34"/>
      <x:c r="P76" s="34"/>
      <x:c r="Q76" s="35" t="str">
        <x:f>IF(B76="","",IF(I76&lt;&gt;"是","不通过",IF(O76&lt;&gt;"否","不通过",IF(H76="ANSWER",IF(AND(K76=2,L76=2,M76=2,N76=2),"通过","不通过"),IF(H76="CONFLICT",IF(AND(K76=2,L76=2,M76=2,N76=2,P76=2),"通过","不通过"),IF(H76="INSUFFICIENT_EVIDENCE","通过","待填写"))))))</x:f>
      </x:c>
      <x:c r="R76" s="34"/>
      <x:c r="S76" s="34"/>
      <x:c r="T76" s="34"/>
      <x:c r="U76" s="34"/>
      <x:c r="V76" s="34"/>
      <x:c r="W76" s="34"/>
      <x:c r="X76" s="34"/>
      <x:c r="Y76" s="34"/>
      <x:c r="Z76" s="34"/>
      <x:c r="AA76" s="34"/>
    </x:row>
    <x:row r="77" ht="34" customHeight="1">
      <x:c r="A77" s="34"/>
      <x:c r="B77" s="34"/>
      <x:c r="C77" s="34"/>
      <x:c r="D77" s="41"/>
      <x:c r="E77" s="34"/>
      <x:c r="F77" s="34"/>
      <x:c r="G77" s="34"/>
      <x:c r="H77" s="34"/>
      <x:c r="I77" s="35" t="str">
        <x:f>IF(B77="","",IF(COUNTIF('专家金标'!$A$5:$A$204,B77)=0,"未找到金标",IF(H77=INDEX('专家金标'!$J$5:$J$204,MATCH(B77,'专家金标'!$A$5:$A$204,0)),"是","否")))</x:f>
      </x:c>
      <x:c r="J77" s="34"/>
      <x:c r="K77" s="34"/>
      <x:c r="L77" s="34"/>
      <x:c r="M77" s="34"/>
      <x:c r="N77" s="34"/>
      <x:c r="O77" s="34"/>
      <x:c r="P77" s="34"/>
      <x:c r="Q77" s="35" t="str">
        <x:f>IF(B77="","",IF(I77&lt;&gt;"是","不通过",IF(O77&lt;&gt;"否","不通过",IF(H77="ANSWER",IF(AND(K77=2,L77=2,M77=2,N77=2),"通过","不通过"),IF(H77="CONFLICT",IF(AND(K77=2,L77=2,M77=2,N77=2,P77=2),"通过","不通过"),IF(H77="INSUFFICIENT_EVIDENCE","通过","待填写"))))))</x:f>
      </x:c>
      <x:c r="R77" s="34"/>
      <x:c r="S77" s="34"/>
      <x:c r="T77" s="34"/>
      <x:c r="U77" s="34"/>
      <x:c r="V77" s="34"/>
      <x:c r="W77" s="34"/>
      <x:c r="X77" s="34"/>
      <x:c r="Y77" s="34"/>
      <x:c r="Z77" s="34"/>
      <x:c r="AA77" s="34"/>
    </x:row>
    <x:row r="78" ht="34" customHeight="1">
      <x:c r="A78" s="34"/>
      <x:c r="B78" s="34"/>
      <x:c r="C78" s="34"/>
      <x:c r="D78" s="41"/>
      <x:c r="E78" s="34"/>
      <x:c r="F78" s="34"/>
      <x:c r="G78" s="34"/>
      <x:c r="H78" s="34"/>
      <x:c r="I78" s="35" t="str">
        <x:f>IF(B78="","",IF(COUNTIF('专家金标'!$A$5:$A$204,B78)=0,"未找到金标",IF(H78=INDEX('专家金标'!$J$5:$J$204,MATCH(B78,'专家金标'!$A$5:$A$204,0)),"是","否")))</x:f>
      </x:c>
      <x:c r="J78" s="34"/>
      <x:c r="K78" s="34"/>
      <x:c r="L78" s="34"/>
      <x:c r="M78" s="34"/>
      <x:c r="N78" s="34"/>
      <x:c r="O78" s="34"/>
      <x:c r="P78" s="34"/>
      <x:c r="Q78" s="35" t="str">
        <x:f>IF(B78="","",IF(I78&lt;&gt;"是","不通过",IF(O78&lt;&gt;"否","不通过",IF(H78="ANSWER",IF(AND(K78=2,L78=2,M78=2,N78=2),"通过","不通过"),IF(H78="CONFLICT",IF(AND(K78=2,L78=2,M78=2,N78=2,P78=2),"通过","不通过"),IF(H78="INSUFFICIENT_EVIDENCE","通过","待填写"))))))</x:f>
      </x:c>
      <x:c r="R78" s="34"/>
      <x:c r="S78" s="34"/>
      <x:c r="T78" s="34"/>
      <x:c r="U78" s="34"/>
      <x:c r="V78" s="34"/>
      <x:c r="W78" s="34"/>
      <x:c r="X78" s="34"/>
      <x:c r="Y78" s="34"/>
      <x:c r="Z78" s="34"/>
      <x:c r="AA78" s="34"/>
    </x:row>
    <x:row r="79" ht="34" customHeight="1">
      <x:c r="A79" s="34"/>
      <x:c r="B79" s="34"/>
      <x:c r="C79" s="34"/>
      <x:c r="D79" s="41"/>
      <x:c r="E79" s="34"/>
      <x:c r="F79" s="34"/>
      <x:c r="G79" s="34"/>
      <x:c r="H79" s="34"/>
      <x:c r="I79" s="35" t="str">
        <x:f>IF(B79="","",IF(COUNTIF('专家金标'!$A$5:$A$204,B79)=0,"未找到金标",IF(H79=INDEX('专家金标'!$J$5:$J$204,MATCH(B79,'专家金标'!$A$5:$A$204,0)),"是","否")))</x:f>
      </x:c>
      <x:c r="J79" s="34"/>
      <x:c r="K79" s="34"/>
      <x:c r="L79" s="34"/>
      <x:c r="M79" s="34"/>
      <x:c r="N79" s="34"/>
      <x:c r="O79" s="34"/>
      <x:c r="P79" s="34"/>
      <x:c r="Q79" s="35" t="str">
        <x:f>IF(B79="","",IF(I79&lt;&gt;"是","不通过",IF(O79&lt;&gt;"否","不通过",IF(H79="ANSWER",IF(AND(K79=2,L79=2,M79=2,N79=2),"通过","不通过"),IF(H79="CONFLICT",IF(AND(K79=2,L79=2,M79=2,N79=2,P79=2),"通过","不通过"),IF(H79="INSUFFICIENT_EVIDENCE","通过","待填写"))))))</x:f>
      </x:c>
      <x:c r="R79" s="34"/>
      <x:c r="S79" s="34"/>
      <x:c r="T79" s="34"/>
      <x:c r="U79" s="34"/>
      <x:c r="V79" s="34"/>
      <x:c r="W79" s="34"/>
      <x:c r="X79" s="34"/>
      <x:c r="Y79" s="34"/>
      <x:c r="Z79" s="34"/>
      <x:c r="AA79" s="34"/>
    </x:row>
    <x:row r="80" ht="34" customHeight="1">
      <x:c r="A80" s="34"/>
      <x:c r="B80" s="34"/>
      <x:c r="C80" s="34"/>
      <x:c r="D80" s="41"/>
      <x:c r="E80" s="34"/>
      <x:c r="F80" s="34"/>
      <x:c r="G80" s="34"/>
      <x:c r="H80" s="34"/>
      <x:c r="I80" s="35" t="str">
        <x:f>IF(B80="","",IF(COUNTIF('专家金标'!$A$5:$A$204,B80)=0,"未找到金标",IF(H80=INDEX('专家金标'!$J$5:$J$204,MATCH(B80,'专家金标'!$A$5:$A$204,0)),"是","否")))</x:f>
      </x:c>
      <x:c r="J80" s="34"/>
      <x:c r="K80" s="34"/>
      <x:c r="L80" s="34"/>
      <x:c r="M80" s="34"/>
      <x:c r="N80" s="34"/>
      <x:c r="O80" s="34"/>
      <x:c r="P80" s="34"/>
      <x:c r="Q80" s="35" t="str">
        <x:f>IF(B80="","",IF(I80&lt;&gt;"是","不通过",IF(O80&lt;&gt;"否","不通过",IF(H80="ANSWER",IF(AND(K80=2,L80=2,M80=2,N80=2),"通过","不通过"),IF(H80="CONFLICT",IF(AND(K80=2,L80=2,M80=2,N80=2,P80=2),"通过","不通过"),IF(H80="INSUFFICIENT_EVIDENCE","通过","待填写"))))))</x:f>
      </x:c>
      <x:c r="R80" s="34"/>
      <x:c r="S80" s="34"/>
      <x:c r="T80" s="34"/>
      <x:c r="U80" s="34"/>
      <x:c r="V80" s="34"/>
      <x:c r="W80" s="34"/>
      <x:c r="X80" s="34"/>
      <x:c r="Y80" s="34"/>
      <x:c r="Z80" s="34"/>
      <x:c r="AA80" s="34"/>
    </x:row>
    <x:row r="81" ht="34" customHeight="1">
      <x:c r="A81" s="34"/>
      <x:c r="B81" s="34"/>
      <x:c r="C81" s="34"/>
      <x:c r="D81" s="41"/>
      <x:c r="E81" s="34"/>
      <x:c r="F81" s="34"/>
      <x:c r="G81" s="34"/>
      <x:c r="H81" s="34"/>
      <x:c r="I81" s="35" t="str">
        <x:f>IF(B81="","",IF(COUNTIF('专家金标'!$A$5:$A$204,B81)=0,"未找到金标",IF(H81=INDEX('专家金标'!$J$5:$J$204,MATCH(B81,'专家金标'!$A$5:$A$204,0)),"是","否")))</x:f>
      </x:c>
      <x:c r="J81" s="34"/>
      <x:c r="K81" s="34"/>
      <x:c r="L81" s="34"/>
      <x:c r="M81" s="34"/>
      <x:c r="N81" s="34"/>
      <x:c r="O81" s="34"/>
      <x:c r="P81" s="34"/>
      <x:c r="Q81" s="35" t="str">
        <x:f>IF(B81="","",IF(I81&lt;&gt;"是","不通过",IF(O81&lt;&gt;"否","不通过",IF(H81="ANSWER",IF(AND(K81=2,L81=2,M81=2,N81=2),"通过","不通过"),IF(H81="CONFLICT",IF(AND(K81=2,L81=2,M81=2,N81=2,P81=2),"通过","不通过"),IF(H81="INSUFFICIENT_EVIDENCE","通过","待填写"))))))</x:f>
      </x:c>
      <x:c r="R81" s="34"/>
      <x:c r="S81" s="34"/>
      <x:c r="T81" s="34"/>
      <x:c r="U81" s="34"/>
      <x:c r="V81" s="34"/>
      <x:c r="W81" s="34"/>
      <x:c r="X81" s="34"/>
      <x:c r="Y81" s="34"/>
      <x:c r="Z81" s="34"/>
      <x:c r="AA81" s="34"/>
    </x:row>
    <x:row r="82" ht="34" customHeight="1">
      <x:c r="A82" s="34"/>
      <x:c r="B82" s="34"/>
      <x:c r="C82" s="34"/>
      <x:c r="D82" s="41"/>
      <x:c r="E82" s="34"/>
      <x:c r="F82" s="34"/>
      <x:c r="G82" s="34"/>
      <x:c r="H82" s="34"/>
      <x:c r="I82" s="35" t="str">
        <x:f>IF(B82="","",IF(COUNTIF('专家金标'!$A$5:$A$204,B82)=0,"未找到金标",IF(H82=INDEX('专家金标'!$J$5:$J$204,MATCH(B82,'专家金标'!$A$5:$A$204,0)),"是","否")))</x:f>
      </x:c>
      <x:c r="J82" s="34"/>
      <x:c r="K82" s="34"/>
      <x:c r="L82" s="34"/>
      <x:c r="M82" s="34"/>
      <x:c r="N82" s="34"/>
      <x:c r="O82" s="34"/>
      <x:c r="P82" s="34"/>
      <x:c r="Q82" s="35" t="str">
        <x:f>IF(B82="","",IF(I82&lt;&gt;"是","不通过",IF(O82&lt;&gt;"否","不通过",IF(H82="ANSWER",IF(AND(K82=2,L82=2,M82=2,N82=2),"通过","不通过"),IF(H82="CONFLICT",IF(AND(K82=2,L82=2,M82=2,N82=2,P82=2),"通过","不通过"),IF(H82="INSUFFICIENT_EVIDENCE","通过","待填写"))))))</x:f>
      </x:c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</x:row>
    <x:row r="83" ht="34" customHeight="1">
      <x:c r="A83" s="34"/>
      <x:c r="B83" s="34"/>
      <x:c r="C83" s="34"/>
      <x:c r="D83" s="41"/>
      <x:c r="E83" s="34"/>
      <x:c r="F83" s="34"/>
      <x:c r="G83" s="34"/>
      <x:c r="H83" s="34"/>
      <x:c r="I83" s="35" t="str">
        <x:f>IF(B83="","",IF(COUNTIF('专家金标'!$A$5:$A$204,B83)=0,"未找到金标",IF(H83=INDEX('专家金标'!$J$5:$J$204,MATCH(B83,'专家金标'!$A$5:$A$204,0)),"是","否")))</x:f>
      </x:c>
      <x:c r="J83" s="34"/>
      <x:c r="K83" s="34"/>
      <x:c r="L83" s="34"/>
      <x:c r="M83" s="34"/>
      <x:c r="N83" s="34"/>
      <x:c r="O83" s="34"/>
      <x:c r="P83" s="34"/>
      <x:c r="Q83" s="35" t="str">
        <x:f>IF(B83="","",IF(I83&lt;&gt;"是","不通过",IF(O83&lt;&gt;"否","不通过",IF(H83="ANSWER",IF(AND(K83=2,L83=2,M83=2,N83=2),"通过","不通过"),IF(H83="CONFLICT",IF(AND(K83=2,L83=2,M83=2,N83=2,P83=2),"通过","不通过"),IF(H83="INSUFFICIENT_EVIDENCE","通过","待填写"))))))</x:f>
      </x:c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</x:row>
    <x:row r="84" ht="34" customHeight="1">
      <x:c r="A84" s="34"/>
      <x:c r="B84" s="34"/>
      <x:c r="C84" s="34"/>
      <x:c r="D84" s="41"/>
      <x:c r="E84" s="34"/>
      <x:c r="F84" s="34"/>
      <x:c r="G84" s="34"/>
      <x:c r="H84" s="34"/>
      <x:c r="I84" s="35" t="str">
        <x:f>IF(B84="","",IF(COUNTIF('专家金标'!$A$5:$A$204,B84)=0,"未找到金标",IF(H84=INDEX('专家金标'!$J$5:$J$204,MATCH(B84,'专家金标'!$A$5:$A$204,0)),"是","否")))</x:f>
      </x:c>
      <x:c r="J84" s="34"/>
      <x:c r="K84" s="34"/>
      <x:c r="L84" s="34"/>
      <x:c r="M84" s="34"/>
      <x:c r="N84" s="34"/>
      <x:c r="O84" s="34"/>
      <x:c r="P84" s="34"/>
      <x:c r="Q84" s="35" t="str">
        <x:f>IF(B84="","",IF(I84&lt;&gt;"是","不通过",IF(O84&lt;&gt;"否","不通过",IF(H84="ANSWER",IF(AND(K84=2,L84=2,M84=2,N84=2),"通过","不通过"),IF(H84="CONFLICT",IF(AND(K84=2,L84=2,M84=2,N84=2,P84=2),"通过","不通过"),IF(H84="INSUFFICIENT_EVIDENCE","通过","待填写"))))))</x:f>
      </x:c>
      <x:c r="R84" s="34"/>
      <x:c r="S84" s="34"/>
      <x:c r="T84" s="34"/>
      <x:c r="U84" s="34"/>
      <x:c r="V84" s="34"/>
      <x:c r="W84" s="34"/>
      <x:c r="X84" s="34"/>
      <x:c r="Y84" s="34"/>
      <x:c r="Z84" s="34"/>
      <x:c r="AA84" s="34"/>
    </x:row>
    <x:row r="85" ht="34" customHeight="1">
      <x:c r="A85" s="34"/>
      <x:c r="B85" s="34"/>
      <x:c r="C85" s="34"/>
      <x:c r="D85" s="41"/>
      <x:c r="E85" s="34"/>
      <x:c r="F85" s="34"/>
      <x:c r="G85" s="34"/>
      <x:c r="H85" s="34"/>
      <x:c r="I85" s="35" t="str">
        <x:f>IF(B85="","",IF(COUNTIF('专家金标'!$A$5:$A$204,B85)=0,"未找到金标",IF(H85=INDEX('专家金标'!$J$5:$J$204,MATCH(B85,'专家金标'!$A$5:$A$204,0)),"是","否")))</x:f>
      </x:c>
      <x:c r="J85" s="34"/>
      <x:c r="K85" s="34"/>
      <x:c r="L85" s="34"/>
      <x:c r="M85" s="34"/>
      <x:c r="N85" s="34"/>
      <x:c r="O85" s="34"/>
      <x:c r="P85" s="34"/>
      <x:c r="Q85" s="35" t="str">
        <x:f>IF(B85="","",IF(I85&lt;&gt;"是","不通过",IF(O85&lt;&gt;"否","不通过",IF(H85="ANSWER",IF(AND(K85=2,L85=2,M85=2,N85=2),"通过","不通过"),IF(H85="CONFLICT",IF(AND(K85=2,L85=2,M85=2,N85=2,P85=2),"通过","不通过"),IF(H85="INSUFFICIENT_EVIDENCE","通过","待填写"))))))</x:f>
      </x:c>
      <x:c r="R85" s="34"/>
      <x:c r="S85" s="34"/>
      <x:c r="T85" s="34"/>
      <x:c r="U85" s="34"/>
      <x:c r="V85" s="34"/>
      <x:c r="W85" s="34"/>
      <x:c r="X85" s="34"/>
      <x:c r="Y85" s="34"/>
      <x:c r="Z85" s="34"/>
      <x:c r="AA85" s="34"/>
    </x:row>
    <x:row r="86" ht="34" customHeight="1">
      <x:c r="A86" s="34"/>
      <x:c r="B86" s="34"/>
      <x:c r="C86" s="34"/>
      <x:c r="D86" s="41"/>
      <x:c r="E86" s="34"/>
      <x:c r="F86" s="34"/>
      <x:c r="G86" s="34"/>
      <x:c r="H86" s="34"/>
      <x:c r="I86" s="35" t="str">
        <x:f>IF(B86="","",IF(COUNTIF('专家金标'!$A$5:$A$204,B86)=0,"未找到金标",IF(H86=INDEX('专家金标'!$J$5:$J$204,MATCH(B86,'专家金标'!$A$5:$A$204,0)),"是","否")))</x:f>
      </x:c>
      <x:c r="J86" s="34"/>
      <x:c r="K86" s="34"/>
      <x:c r="L86" s="34"/>
      <x:c r="M86" s="34"/>
      <x:c r="N86" s="34"/>
      <x:c r="O86" s="34"/>
      <x:c r="P86" s="34"/>
      <x:c r="Q86" s="35" t="str">
        <x:f>IF(B86="","",IF(I86&lt;&gt;"是","不通过",IF(O86&lt;&gt;"否","不通过",IF(H86="ANSWER",IF(AND(K86=2,L86=2,M86=2,N86=2),"通过","不通过"),IF(H86="CONFLICT",IF(AND(K86=2,L86=2,M86=2,N86=2,P86=2),"通过","不通过"),IF(H86="INSUFFICIENT_EVIDENCE","通过","待填写"))))))</x:f>
      </x:c>
      <x:c r="R86" s="34"/>
      <x:c r="S86" s="34"/>
      <x:c r="T86" s="34"/>
      <x:c r="U86" s="34"/>
      <x:c r="V86" s="34"/>
      <x:c r="W86" s="34"/>
      <x:c r="X86" s="34"/>
      <x:c r="Y86" s="34"/>
      <x:c r="Z86" s="34"/>
      <x:c r="AA86" s="34"/>
    </x:row>
    <x:row r="87" ht="34" customHeight="1">
      <x:c r="A87" s="34"/>
      <x:c r="B87" s="34"/>
      <x:c r="C87" s="34"/>
      <x:c r="D87" s="41"/>
      <x:c r="E87" s="34"/>
      <x:c r="F87" s="34"/>
      <x:c r="G87" s="34"/>
      <x:c r="H87" s="34"/>
      <x:c r="I87" s="35" t="str">
        <x:f>IF(B87="","",IF(COUNTIF('专家金标'!$A$5:$A$204,B87)=0,"未找到金标",IF(H87=INDEX('专家金标'!$J$5:$J$204,MATCH(B87,'专家金标'!$A$5:$A$204,0)),"是","否")))</x:f>
      </x:c>
      <x:c r="J87" s="34"/>
      <x:c r="K87" s="34"/>
      <x:c r="L87" s="34"/>
      <x:c r="M87" s="34"/>
      <x:c r="N87" s="34"/>
      <x:c r="O87" s="34"/>
      <x:c r="P87" s="34"/>
      <x:c r="Q87" s="35" t="str">
        <x:f>IF(B87="","",IF(I87&lt;&gt;"是","不通过",IF(O87&lt;&gt;"否","不通过",IF(H87="ANSWER",IF(AND(K87=2,L87=2,M87=2,N87=2),"通过","不通过"),IF(H87="CONFLICT",IF(AND(K87=2,L87=2,M87=2,N87=2,P87=2),"通过","不通过"),IF(H87="INSUFFICIENT_EVIDENCE","通过","待填写"))))))</x:f>
      </x:c>
      <x:c r="R87" s="34"/>
      <x:c r="S87" s="34"/>
      <x:c r="T87" s="34"/>
      <x:c r="U87" s="34"/>
      <x:c r="V87" s="34"/>
      <x:c r="W87" s="34"/>
      <x:c r="X87" s="34"/>
      <x:c r="Y87" s="34"/>
      <x:c r="Z87" s="34"/>
      <x:c r="AA87" s="34"/>
    </x:row>
    <x:row r="88" ht="34" customHeight="1">
      <x:c r="A88" s="34"/>
      <x:c r="B88" s="34"/>
      <x:c r="C88" s="34"/>
      <x:c r="D88" s="41"/>
      <x:c r="E88" s="34"/>
      <x:c r="F88" s="34"/>
      <x:c r="G88" s="34"/>
      <x:c r="H88" s="34"/>
      <x:c r="I88" s="35" t="str">
        <x:f>IF(B88="","",IF(COUNTIF('专家金标'!$A$5:$A$204,B88)=0,"未找到金标",IF(H88=INDEX('专家金标'!$J$5:$J$204,MATCH(B88,'专家金标'!$A$5:$A$204,0)),"是","否")))</x:f>
      </x:c>
      <x:c r="J88" s="34"/>
      <x:c r="K88" s="34"/>
      <x:c r="L88" s="34"/>
      <x:c r="M88" s="34"/>
      <x:c r="N88" s="34"/>
      <x:c r="O88" s="34"/>
      <x:c r="P88" s="34"/>
      <x:c r="Q88" s="35" t="str">
        <x:f>IF(B88="","",IF(I88&lt;&gt;"是","不通过",IF(O88&lt;&gt;"否","不通过",IF(H88="ANSWER",IF(AND(K88=2,L88=2,M88=2,N88=2),"通过","不通过"),IF(H88="CONFLICT",IF(AND(K88=2,L88=2,M88=2,N88=2,P88=2),"通过","不通过"),IF(H88="INSUFFICIENT_EVIDENCE","通过","待填写"))))))</x:f>
      </x:c>
      <x:c r="R88" s="34"/>
      <x:c r="S88" s="34"/>
      <x:c r="T88" s="34"/>
      <x:c r="U88" s="34"/>
      <x:c r="V88" s="34"/>
      <x:c r="W88" s="34"/>
      <x:c r="X88" s="34"/>
      <x:c r="Y88" s="34"/>
      <x:c r="Z88" s="34"/>
      <x:c r="AA88" s="34"/>
    </x:row>
    <x:row r="89" ht="34" customHeight="1">
      <x:c r="A89" s="34"/>
      <x:c r="B89" s="34"/>
      <x:c r="C89" s="34"/>
      <x:c r="D89" s="41"/>
      <x:c r="E89" s="34"/>
      <x:c r="F89" s="34"/>
      <x:c r="G89" s="34"/>
      <x:c r="H89" s="34"/>
      <x:c r="I89" s="35" t="str">
        <x:f>IF(B89="","",IF(COUNTIF('专家金标'!$A$5:$A$204,B89)=0,"未找到金标",IF(H89=INDEX('专家金标'!$J$5:$J$204,MATCH(B89,'专家金标'!$A$5:$A$204,0)),"是","否")))</x:f>
      </x:c>
      <x:c r="J89" s="34"/>
      <x:c r="K89" s="34"/>
      <x:c r="L89" s="34"/>
      <x:c r="M89" s="34"/>
      <x:c r="N89" s="34"/>
      <x:c r="O89" s="34"/>
      <x:c r="P89" s="34"/>
      <x:c r="Q89" s="35" t="str">
        <x:f>IF(B89="","",IF(I89&lt;&gt;"是","不通过",IF(O89&lt;&gt;"否","不通过",IF(H89="ANSWER",IF(AND(K89=2,L89=2,M89=2,N89=2),"通过","不通过"),IF(H89="CONFLICT",IF(AND(K89=2,L89=2,M89=2,N89=2,P89=2),"通过","不通过"),IF(H89="INSUFFICIENT_EVIDENCE","通过","待填写"))))))</x:f>
      </x:c>
      <x:c r="R89" s="34"/>
      <x:c r="S89" s="34"/>
      <x:c r="T89" s="34"/>
      <x:c r="U89" s="34"/>
      <x:c r="V89" s="34"/>
      <x:c r="W89" s="34"/>
      <x:c r="X89" s="34"/>
      <x:c r="Y89" s="34"/>
      <x:c r="Z89" s="34"/>
      <x:c r="AA89" s="34"/>
    </x:row>
    <x:row r="90" ht="34" customHeight="1">
      <x:c r="A90" s="34"/>
      <x:c r="B90" s="34"/>
      <x:c r="C90" s="34"/>
      <x:c r="D90" s="41"/>
      <x:c r="E90" s="34"/>
      <x:c r="F90" s="34"/>
      <x:c r="G90" s="34"/>
      <x:c r="H90" s="34"/>
      <x:c r="I90" s="35" t="str">
        <x:f>IF(B90="","",IF(COUNTIF('专家金标'!$A$5:$A$204,B90)=0,"未找到金标",IF(H90=INDEX('专家金标'!$J$5:$J$204,MATCH(B90,'专家金标'!$A$5:$A$204,0)),"是","否")))</x:f>
      </x:c>
      <x:c r="J90" s="34"/>
      <x:c r="K90" s="34"/>
      <x:c r="L90" s="34"/>
      <x:c r="M90" s="34"/>
      <x:c r="N90" s="34"/>
      <x:c r="O90" s="34"/>
      <x:c r="P90" s="34"/>
      <x:c r="Q90" s="35" t="str">
        <x:f>IF(B90="","",IF(I90&lt;&gt;"是","不通过",IF(O90&lt;&gt;"否","不通过",IF(H90="ANSWER",IF(AND(K90=2,L90=2,M90=2,N90=2),"通过","不通过"),IF(H90="CONFLICT",IF(AND(K90=2,L90=2,M90=2,N90=2,P90=2),"通过","不通过"),IF(H90="INSUFFICIENT_EVIDENCE","通过","待填写"))))))</x:f>
      </x:c>
      <x:c r="R90" s="34"/>
      <x:c r="S90" s="34"/>
      <x:c r="T90" s="34"/>
      <x:c r="U90" s="34"/>
      <x:c r="V90" s="34"/>
      <x:c r="W90" s="34"/>
      <x:c r="X90" s="34"/>
      <x:c r="Y90" s="34"/>
      <x:c r="Z90" s="34"/>
      <x:c r="AA90" s="34"/>
    </x:row>
    <x:row r="91" ht="34" customHeight="1">
      <x:c r="A91" s="34"/>
      <x:c r="B91" s="34"/>
      <x:c r="C91" s="34"/>
      <x:c r="D91" s="41"/>
      <x:c r="E91" s="34"/>
      <x:c r="F91" s="34"/>
      <x:c r="G91" s="34"/>
      <x:c r="H91" s="34"/>
      <x:c r="I91" s="35" t="str">
        <x:f>IF(B91="","",IF(COUNTIF('专家金标'!$A$5:$A$204,B91)=0,"未找到金标",IF(H91=INDEX('专家金标'!$J$5:$J$204,MATCH(B91,'专家金标'!$A$5:$A$204,0)),"是","否")))</x:f>
      </x:c>
      <x:c r="J91" s="34"/>
      <x:c r="K91" s="34"/>
      <x:c r="L91" s="34"/>
      <x:c r="M91" s="34"/>
      <x:c r="N91" s="34"/>
      <x:c r="O91" s="34"/>
      <x:c r="P91" s="34"/>
      <x:c r="Q91" s="35" t="str">
        <x:f>IF(B91="","",IF(I91&lt;&gt;"是","不通过",IF(O91&lt;&gt;"否","不通过",IF(H91="ANSWER",IF(AND(K91=2,L91=2,M91=2,N91=2),"通过","不通过"),IF(H91="CONFLICT",IF(AND(K91=2,L91=2,M91=2,N91=2,P91=2),"通过","不通过"),IF(H91="INSUFFICIENT_EVIDENCE","通过","待填写"))))))</x:f>
      </x:c>
      <x:c r="R91" s="34"/>
      <x:c r="S91" s="34"/>
      <x:c r="T91" s="34"/>
      <x:c r="U91" s="34"/>
      <x:c r="V91" s="34"/>
      <x:c r="W91" s="34"/>
      <x:c r="X91" s="34"/>
      <x:c r="Y91" s="34"/>
      <x:c r="Z91" s="34"/>
      <x:c r="AA91" s="34"/>
    </x:row>
    <x:row r="92" ht="34" customHeight="1">
      <x:c r="A92" s="34"/>
      <x:c r="B92" s="34"/>
      <x:c r="C92" s="34"/>
      <x:c r="D92" s="41"/>
      <x:c r="E92" s="34"/>
      <x:c r="F92" s="34"/>
      <x:c r="G92" s="34"/>
      <x:c r="H92" s="34"/>
      <x:c r="I92" s="35" t="str">
        <x:f>IF(B92="","",IF(COUNTIF('专家金标'!$A$5:$A$204,B92)=0,"未找到金标",IF(H92=INDEX('专家金标'!$J$5:$J$204,MATCH(B92,'专家金标'!$A$5:$A$204,0)),"是","否")))</x:f>
      </x:c>
      <x:c r="J92" s="34"/>
      <x:c r="K92" s="34"/>
      <x:c r="L92" s="34"/>
      <x:c r="M92" s="34"/>
      <x:c r="N92" s="34"/>
      <x:c r="O92" s="34"/>
      <x:c r="P92" s="34"/>
      <x:c r="Q92" s="35" t="str">
        <x:f>IF(B92="","",IF(I92&lt;&gt;"是","不通过",IF(O92&lt;&gt;"否","不通过",IF(H92="ANSWER",IF(AND(K92=2,L92=2,M92=2,N92=2),"通过","不通过"),IF(H92="CONFLICT",IF(AND(K92=2,L92=2,M92=2,N92=2,P92=2),"通过","不通过"),IF(H92="INSUFFICIENT_EVIDENCE","通过","待填写"))))))</x:f>
      </x:c>
      <x:c r="R92" s="34"/>
      <x:c r="S92" s="34"/>
      <x:c r="T92" s="34"/>
      <x:c r="U92" s="34"/>
      <x:c r="V92" s="34"/>
      <x:c r="W92" s="34"/>
      <x:c r="X92" s="34"/>
      <x:c r="Y92" s="34"/>
      <x:c r="Z92" s="34"/>
      <x:c r="AA92" s="34"/>
    </x:row>
    <x:row r="93" ht="34" customHeight="1">
      <x:c r="A93" s="34"/>
      <x:c r="B93" s="34"/>
      <x:c r="C93" s="34"/>
      <x:c r="D93" s="41"/>
      <x:c r="E93" s="34"/>
      <x:c r="F93" s="34"/>
      <x:c r="G93" s="34"/>
      <x:c r="H93" s="34"/>
      <x:c r="I93" s="35" t="str">
        <x:f>IF(B93="","",IF(COUNTIF('专家金标'!$A$5:$A$204,B93)=0,"未找到金标",IF(H93=INDEX('专家金标'!$J$5:$J$204,MATCH(B93,'专家金标'!$A$5:$A$204,0)),"是","否")))</x:f>
      </x:c>
      <x:c r="J93" s="34"/>
      <x:c r="K93" s="34"/>
      <x:c r="L93" s="34"/>
      <x:c r="M93" s="34"/>
      <x:c r="N93" s="34"/>
      <x:c r="O93" s="34"/>
      <x:c r="P93" s="34"/>
      <x:c r="Q93" s="35" t="str">
        <x:f>IF(B93="","",IF(I93&lt;&gt;"是","不通过",IF(O93&lt;&gt;"否","不通过",IF(H93="ANSWER",IF(AND(K93=2,L93=2,M93=2,N93=2),"通过","不通过"),IF(H93="CONFLICT",IF(AND(K93=2,L93=2,M93=2,N93=2,P93=2),"通过","不通过"),IF(H93="INSUFFICIENT_EVIDENCE","通过","待填写"))))))</x:f>
      </x:c>
      <x:c r="R93" s="34"/>
      <x:c r="S93" s="34"/>
      <x:c r="T93" s="34"/>
      <x:c r="U93" s="34"/>
      <x:c r="V93" s="34"/>
      <x:c r="W93" s="34"/>
      <x:c r="X93" s="34"/>
      <x:c r="Y93" s="34"/>
      <x:c r="Z93" s="34"/>
      <x:c r="AA93" s="34"/>
    </x:row>
    <x:row r="94" ht="34" customHeight="1">
      <x:c r="A94" s="34"/>
      <x:c r="B94" s="34"/>
      <x:c r="C94" s="34"/>
      <x:c r="D94" s="41"/>
      <x:c r="E94" s="34"/>
      <x:c r="F94" s="34"/>
      <x:c r="G94" s="34"/>
      <x:c r="H94" s="34"/>
      <x:c r="I94" s="35" t="str">
        <x:f>IF(B94="","",IF(COUNTIF('专家金标'!$A$5:$A$204,B94)=0,"未找到金标",IF(H94=INDEX('专家金标'!$J$5:$J$204,MATCH(B94,'专家金标'!$A$5:$A$204,0)),"是","否")))</x:f>
      </x:c>
      <x:c r="J94" s="34"/>
      <x:c r="K94" s="34"/>
      <x:c r="L94" s="34"/>
      <x:c r="M94" s="34"/>
      <x:c r="N94" s="34"/>
      <x:c r="O94" s="34"/>
      <x:c r="P94" s="34"/>
      <x:c r="Q94" s="35" t="str">
        <x:f>IF(B94="","",IF(I94&lt;&gt;"是","不通过",IF(O94&lt;&gt;"否","不通过",IF(H94="ANSWER",IF(AND(K94=2,L94=2,M94=2,N94=2),"通过","不通过"),IF(H94="CONFLICT",IF(AND(K94=2,L94=2,M94=2,N94=2,P94=2),"通过","不通过"),IF(H94="INSUFFICIENT_EVIDENCE","通过","待填写"))))))</x:f>
      </x:c>
      <x:c r="R94" s="34"/>
      <x:c r="S94" s="34"/>
      <x:c r="T94" s="34"/>
      <x:c r="U94" s="34"/>
      <x:c r="V94" s="34"/>
      <x:c r="W94" s="34"/>
      <x:c r="X94" s="34"/>
      <x:c r="Y94" s="34"/>
      <x:c r="Z94" s="34"/>
      <x:c r="AA94" s="34"/>
    </x:row>
    <x:row r="95" ht="34" customHeight="1">
      <x:c r="A95" s="34"/>
      <x:c r="B95" s="34"/>
      <x:c r="C95" s="34"/>
      <x:c r="D95" s="41"/>
      <x:c r="E95" s="34"/>
      <x:c r="F95" s="34"/>
      <x:c r="G95" s="34"/>
      <x:c r="H95" s="34"/>
      <x:c r="I95" s="35" t="str">
        <x:f>IF(B95="","",IF(COUNTIF('专家金标'!$A$5:$A$204,B95)=0,"未找到金标",IF(H95=INDEX('专家金标'!$J$5:$J$204,MATCH(B95,'专家金标'!$A$5:$A$204,0)),"是","否")))</x:f>
      </x:c>
      <x:c r="J95" s="34"/>
      <x:c r="K95" s="34"/>
      <x:c r="L95" s="34"/>
      <x:c r="M95" s="34"/>
      <x:c r="N95" s="34"/>
      <x:c r="O95" s="34"/>
      <x:c r="P95" s="34"/>
      <x:c r="Q95" s="35" t="str">
        <x:f>IF(B95="","",IF(I95&lt;&gt;"是","不通过",IF(O95&lt;&gt;"否","不通过",IF(H95="ANSWER",IF(AND(K95=2,L95=2,M95=2,N95=2),"通过","不通过"),IF(H95="CONFLICT",IF(AND(K95=2,L95=2,M95=2,N95=2,P95=2),"通过","不通过"),IF(H95="INSUFFICIENT_EVIDENCE","通过","待填写"))))))</x:f>
      </x:c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</x:row>
    <x:row r="96" ht="34" customHeight="1">
      <x:c r="A96" s="34"/>
      <x:c r="B96" s="34"/>
      <x:c r="C96" s="34"/>
      <x:c r="D96" s="41"/>
      <x:c r="E96" s="34"/>
      <x:c r="F96" s="34"/>
      <x:c r="G96" s="34"/>
      <x:c r="H96" s="34"/>
      <x:c r="I96" s="35" t="str">
        <x:f>IF(B96="","",IF(COUNTIF('专家金标'!$A$5:$A$204,B96)=0,"未找到金标",IF(H96=INDEX('专家金标'!$J$5:$J$204,MATCH(B96,'专家金标'!$A$5:$A$204,0)),"是","否")))</x:f>
      </x:c>
      <x:c r="J96" s="34"/>
      <x:c r="K96" s="34"/>
      <x:c r="L96" s="34"/>
      <x:c r="M96" s="34"/>
      <x:c r="N96" s="34"/>
      <x:c r="O96" s="34"/>
      <x:c r="P96" s="34"/>
      <x:c r="Q96" s="35" t="str">
        <x:f>IF(B96="","",IF(I96&lt;&gt;"是","不通过",IF(O96&lt;&gt;"否","不通过",IF(H96="ANSWER",IF(AND(K96=2,L96=2,M96=2,N96=2),"通过","不通过"),IF(H96="CONFLICT",IF(AND(K96=2,L96=2,M96=2,N96=2,P96=2),"通过","不通过"),IF(H96="INSUFFICIENT_EVIDENCE","通过","待填写"))))))</x:f>
      </x:c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</x:row>
    <x:row r="97" ht="34" customHeight="1">
      <x:c r="A97" s="34"/>
      <x:c r="B97" s="34"/>
      <x:c r="C97" s="34"/>
      <x:c r="D97" s="41"/>
      <x:c r="E97" s="34"/>
      <x:c r="F97" s="34"/>
      <x:c r="G97" s="34"/>
      <x:c r="H97" s="34"/>
      <x:c r="I97" s="35" t="str">
        <x:f>IF(B97="","",IF(COUNTIF('专家金标'!$A$5:$A$204,B97)=0,"未找到金标",IF(H97=INDEX('专家金标'!$J$5:$J$204,MATCH(B97,'专家金标'!$A$5:$A$204,0)),"是","否")))</x:f>
      </x:c>
      <x:c r="J97" s="34"/>
      <x:c r="K97" s="34"/>
      <x:c r="L97" s="34"/>
      <x:c r="M97" s="34"/>
      <x:c r="N97" s="34"/>
      <x:c r="O97" s="34"/>
      <x:c r="P97" s="34"/>
      <x:c r="Q97" s="35" t="str">
        <x:f>IF(B97="","",IF(I97&lt;&gt;"是","不通过",IF(O97&lt;&gt;"否","不通过",IF(H97="ANSWER",IF(AND(K97=2,L97=2,M97=2,N97=2),"通过","不通过"),IF(H97="CONFLICT",IF(AND(K97=2,L97=2,M97=2,N97=2,P97=2),"通过","不通过"),IF(H97="INSUFFICIENT_EVIDENCE","通过","待填写"))))))</x:f>
      </x:c>
      <x:c r="R97" s="34"/>
      <x:c r="S97" s="34"/>
      <x:c r="T97" s="34"/>
      <x:c r="U97" s="34"/>
      <x:c r="V97" s="34"/>
      <x:c r="W97" s="34"/>
      <x:c r="X97" s="34"/>
      <x:c r="Y97" s="34"/>
      <x:c r="Z97" s="34"/>
      <x:c r="AA97" s="34"/>
    </x:row>
    <x:row r="98" ht="34" customHeight="1">
      <x:c r="A98" s="34"/>
      <x:c r="B98" s="34"/>
      <x:c r="C98" s="34"/>
      <x:c r="D98" s="41"/>
      <x:c r="E98" s="34"/>
      <x:c r="F98" s="34"/>
      <x:c r="G98" s="34"/>
      <x:c r="H98" s="34"/>
      <x:c r="I98" s="35" t="str">
        <x:f>IF(B98="","",IF(COUNTIF('专家金标'!$A$5:$A$204,B98)=0,"未找到金标",IF(H98=INDEX('专家金标'!$J$5:$J$204,MATCH(B98,'专家金标'!$A$5:$A$204,0)),"是","否")))</x:f>
      </x:c>
      <x:c r="J98" s="34"/>
      <x:c r="K98" s="34"/>
      <x:c r="L98" s="34"/>
      <x:c r="M98" s="34"/>
      <x:c r="N98" s="34"/>
      <x:c r="O98" s="34"/>
      <x:c r="P98" s="34"/>
      <x:c r="Q98" s="35" t="str">
        <x:f>IF(B98="","",IF(I98&lt;&gt;"是","不通过",IF(O98&lt;&gt;"否","不通过",IF(H98="ANSWER",IF(AND(K98=2,L98=2,M98=2,N98=2),"通过","不通过"),IF(H98="CONFLICT",IF(AND(K98=2,L98=2,M98=2,N98=2,P98=2),"通过","不通过"),IF(H98="INSUFFICIENT_EVIDENCE","通过","待填写"))))))</x:f>
      </x:c>
      <x:c r="R98" s="34"/>
      <x:c r="S98" s="34"/>
      <x:c r="T98" s="34"/>
      <x:c r="U98" s="34"/>
      <x:c r="V98" s="34"/>
      <x:c r="W98" s="34"/>
      <x:c r="X98" s="34"/>
      <x:c r="Y98" s="34"/>
      <x:c r="Z98" s="34"/>
      <x:c r="AA98" s="34"/>
    </x:row>
    <x:row r="99" ht="34" customHeight="1">
      <x:c r="A99" s="34"/>
      <x:c r="B99" s="34"/>
      <x:c r="C99" s="34"/>
      <x:c r="D99" s="41"/>
      <x:c r="E99" s="34"/>
      <x:c r="F99" s="34"/>
      <x:c r="G99" s="34"/>
      <x:c r="H99" s="34"/>
      <x:c r="I99" s="35" t="str">
        <x:f>IF(B99="","",IF(COUNTIF('专家金标'!$A$5:$A$204,B99)=0,"未找到金标",IF(H99=INDEX('专家金标'!$J$5:$J$204,MATCH(B99,'专家金标'!$A$5:$A$204,0)),"是","否")))</x:f>
      </x:c>
      <x:c r="J99" s="34"/>
      <x:c r="K99" s="34"/>
      <x:c r="L99" s="34"/>
      <x:c r="M99" s="34"/>
      <x:c r="N99" s="34"/>
      <x:c r="O99" s="34"/>
      <x:c r="P99" s="34"/>
      <x:c r="Q99" s="35" t="str">
        <x:f>IF(B99="","",IF(I99&lt;&gt;"是","不通过",IF(O99&lt;&gt;"否","不通过",IF(H99="ANSWER",IF(AND(K99=2,L99=2,M99=2,N99=2),"通过","不通过"),IF(H99="CONFLICT",IF(AND(K99=2,L99=2,M99=2,N99=2,P99=2),"通过","不通过"),IF(H99="INSUFFICIENT_EVIDENCE","通过","待填写"))))))</x:f>
      </x:c>
      <x:c r="R99" s="34"/>
      <x:c r="S99" s="34"/>
      <x:c r="T99" s="34"/>
      <x:c r="U99" s="34"/>
      <x:c r="V99" s="34"/>
      <x:c r="W99" s="34"/>
      <x:c r="X99" s="34"/>
      <x:c r="Y99" s="34"/>
      <x:c r="Z99" s="34"/>
      <x:c r="AA99" s="34"/>
    </x:row>
    <x:row r="100" ht="34" customHeight="1">
      <x:c r="A100" s="34"/>
      <x:c r="B100" s="34"/>
      <x:c r="C100" s="34"/>
      <x:c r="D100" s="41"/>
      <x:c r="E100" s="34"/>
      <x:c r="F100" s="34"/>
      <x:c r="G100" s="34"/>
      <x:c r="H100" s="34"/>
      <x:c r="I100" s="35" t="str">
        <x:f>IF(B100="","",IF(COUNTIF('专家金标'!$A$5:$A$204,B100)=0,"未找到金标",IF(H100=INDEX('专家金标'!$J$5:$J$204,MATCH(B100,'专家金标'!$A$5:$A$204,0)),"是","否")))</x:f>
      </x:c>
      <x:c r="J100" s="34"/>
      <x:c r="K100" s="34"/>
      <x:c r="L100" s="34"/>
      <x:c r="M100" s="34"/>
      <x:c r="N100" s="34"/>
      <x:c r="O100" s="34"/>
      <x:c r="P100" s="34"/>
      <x:c r="Q100" s="35" t="str">
        <x:f>IF(B100="","",IF(I100&lt;&gt;"是","不通过",IF(O100&lt;&gt;"否","不通过",IF(H100="ANSWER",IF(AND(K100=2,L100=2,M100=2,N100=2),"通过","不通过"),IF(H100="CONFLICT",IF(AND(K100=2,L100=2,M100=2,N100=2,P100=2),"通过","不通过"),IF(H100="INSUFFICIENT_EVIDENCE","通过","待填写"))))))</x:f>
      </x:c>
      <x:c r="R100" s="34"/>
      <x:c r="S100" s="34"/>
      <x:c r="T100" s="34"/>
      <x:c r="U100" s="34"/>
      <x:c r="V100" s="34"/>
      <x:c r="W100" s="34"/>
      <x:c r="X100" s="34"/>
      <x:c r="Y100" s="34"/>
      <x:c r="Z100" s="34"/>
      <x:c r="AA100" s="34"/>
    </x:row>
    <x:row r="101" ht="34" customHeight="1">
      <x:c r="A101" s="34"/>
      <x:c r="B101" s="34"/>
      <x:c r="C101" s="34"/>
      <x:c r="D101" s="41"/>
      <x:c r="E101" s="34"/>
      <x:c r="F101" s="34"/>
      <x:c r="G101" s="34"/>
      <x:c r="H101" s="34"/>
      <x:c r="I101" s="35" t="str">
        <x:f>IF(B101="","",IF(COUNTIF('专家金标'!$A$5:$A$204,B101)=0,"未找到金标",IF(H101=INDEX('专家金标'!$J$5:$J$204,MATCH(B101,'专家金标'!$A$5:$A$204,0)),"是","否")))</x:f>
      </x:c>
      <x:c r="J101" s="34"/>
      <x:c r="K101" s="34"/>
      <x:c r="L101" s="34"/>
      <x:c r="M101" s="34"/>
      <x:c r="N101" s="34"/>
      <x:c r="O101" s="34"/>
      <x:c r="P101" s="34"/>
      <x:c r="Q101" s="35" t="str">
        <x:f>IF(B101="","",IF(I101&lt;&gt;"是","不通过",IF(O101&lt;&gt;"否","不通过",IF(H101="ANSWER",IF(AND(K101=2,L101=2,M101=2,N101=2),"通过","不通过"),IF(H101="CONFLICT",IF(AND(K101=2,L101=2,M101=2,N101=2,P101=2),"通过","不通过"),IF(H101="INSUFFICIENT_EVIDENCE","通过","待填写"))))))</x:f>
      </x:c>
      <x:c r="R101" s="34"/>
      <x:c r="S101" s="34"/>
      <x:c r="T101" s="34"/>
      <x:c r="U101" s="34"/>
      <x:c r="V101" s="34"/>
      <x:c r="W101" s="34"/>
      <x:c r="X101" s="34"/>
      <x:c r="Y101" s="34"/>
      <x:c r="Z101" s="34"/>
      <x:c r="AA101" s="34"/>
    </x:row>
    <x:row r="102" ht="34" customHeight="1">
      <x:c r="A102" s="34"/>
      <x:c r="B102" s="34"/>
      <x:c r="C102" s="34"/>
      <x:c r="D102" s="41"/>
      <x:c r="E102" s="34"/>
      <x:c r="F102" s="34"/>
      <x:c r="G102" s="34"/>
      <x:c r="H102" s="34"/>
      <x:c r="I102" s="35" t="str">
        <x:f>IF(B102="","",IF(COUNTIF('专家金标'!$A$5:$A$204,B102)=0,"未找到金标",IF(H102=INDEX('专家金标'!$J$5:$J$204,MATCH(B102,'专家金标'!$A$5:$A$204,0)),"是","否")))</x:f>
      </x:c>
      <x:c r="J102" s="34"/>
      <x:c r="K102" s="34"/>
      <x:c r="L102" s="34"/>
      <x:c r="M102" s="34"/>
      <x:c r="N102" s="34"/>
      <x:c r="O102" s="34"/>
      <x:c r="P102" s="34"/>
      <x:c r="Q102" s="35" t="str">
        <x:f>IF(B102="","",IF(I102&lt;&gt;"是","不通过",IF(O102&lt;&gt;"否","不通过",IF(H102="ANSWER",IF(AND(K102=2,L102=2,M102=2,N102=2),"通过","不通过"),IF(H102="CONFLICT",IF(AND(K102=2,L102=2,M102=2,N102=2,P102=2),"通过","不通过"),IF(H102="INSUFFICIENT_EVIDENCE","通过","待填写"))))))</x:f>
      </x:c>
      <x:c r="R102" s="34"/>
      <x:c r="S102" s="34"/>
      <x:c r="T102" s="34"/>
      <x:c r="U102" s="34"/>
      <x:c r="V102" s="34"/>
      <x:c r="W102" s="34"/>
      <x:c r="X102" s="34"/>
      <x:c r="Y102" s="34"/>
      <x:c r="Z102" s="34"/>
      <x:c r="AA102" s="34"/>
    </x:row>
    <x:row r="103" ht="34" customHeight="1">
      <x:c r="A103" s="34"/>
      <x:c r="B103" s="34"/>
      <x:c r="C103" s="34"/>
      <x:c r="D103" s="41"/>
      <x:c r="E103" s="34"/>
      <x:c r="F103" s="34"/>
      <x:c r="G103" s="34"/>
      <x:c r="H103" s="34"/>
      <x:c r="I103" s="35" t="str">
        <x:f>IF(B103="","",IF(COUNTIF('专家金标'!$A$5:$A$204,B103)=0,"未找到金标",IF(H103=INDEX('专家金标'!$J$5:$J$204,MATCH(B103,'专家金标'!$A$5:$A$204,0)),"是","否")))</x:f>
      </x:c>
      <x:c r="J103" s="34"/>
      <x:c r="K103" s="34"/>
      <x:c r="L103" s="34"/>
      <x:c r="M103" s="34"/>
      <x:c r="N103" s="34"/>
      <x:c r="O103" s="34"/>
      <x:c r="P103" s="34"/>
      <x:c r="Q103" s="35" t="str">
        <x:f>IF(B103="","",IF(I103&lt;&gt;"是","不通过",IF(O103&lt;&gt;"否","不通过",IF(H103="ANSWER",IF(AND(K103=2,L103=2,M103=2,N103=2),"通过","不通过"),IF(H103="CONFLICT",IF(AND(K103=2,L103=2,M103=2,N103=2,P103=2),"通过","不通过"),IF(H103="INSUFFICIENT_EVIDENCE","通过","待填写"))))))</x:f>
      </x:c>
      <x:c r="R103" s="34"/>
      <x:c r="S103" s="34"/>
      <x:c r="T103" s="34"/>
      <x:c r="U103" s="34"/>
      <x:c r="V103" s="34"/>
      <x:c r="W103" s="34"/>
      <x:c r="X103" s="34"/>
      <x:c r="Y103" s="34"/>
      <x:c r="Z103" s="34"/>
      <x:c r="AA103" s="34"/>
    </x:row>
    <x:row r="104" ht="34" customHeight="1">
      <x:c r="A104" s="34"/>
      <x:c r="B104" s="34"/>
      <x:c r="C104" s="34"/>
      <x:c r="D104" s="41"/>
      <x:c r="E104" s="34"/>
      <x:c r="F104" s="34"/>
      <x:c r="G104" s="34"/>
      <x:c r="H104" s="34"/>
      <x:c r="I104" s="35" t="str">
        <x:f>IF(B104="","",IF(COUNTIF('专家金标'!$A$5:$A$204,B104)=0,"未找到金标",IF(H104=INDEX('专家金标'!$J$5:$J$204,MATCH(B104,'专家金标'!$A$5:$A$204,0)),"是","否")))</x:f>
      </x:c>
      <x:c r="J104" s="34"/>
      <x:c r="K104" s="34"/>
      <x:c r="L104" s="34"/>
      <x:c r="M104" s="34"/>
      <x:c r="N104" s="34"/>
      <x:c r="O104" s="34"/>
      <x:c r="P104" s="34"/>
      <x:c r="Q104" s="35" t="str">
        <x:f>IF(B104="","",IF(I104&lt;&gt;"是","不通过",IF(O104&lt;&gt;"否","不通过",IF(H104="ANSWER",IF(AND(K104=2,L104=2,M104=2,N104=2),"通过","不通过"),IF(H104="CONFLICT",IF(AND(K104=2,L104=2,M104=2,N104=2,P104=2),"通过","不通过"),IF(H104="INSUFFICIENT_EVIDENCE","通过","待填写"))))))</x:f>
      </x:c>
      <x:c r="R104" s="34"/>
      <x:c r="S104" s="34"/>
      <x:c r="T104" s="34"/>
      <x:c r="U104" s="34"/>
      <x:c r="V104" s="34"/>
      <x:c r="W104" s="34"/>
      <x:c r="X104" s="34"/>
      <x:c r="Y104" s="34"/>
      <x:c r="Z104" s="34"/>
      <x:c r="AA104" s="34"/>
    </x:row>
    <x:row r="105" ht="34" customHeight="1">
      <x:c r="A105" s="34"/>
      <x:c r="B105" s="34"/>
      <x:c r="C105" s="34"/>
      <x:c r="D105" s="41"/>
      <x:c r="E105" s="34"/>
      <x:c r="F105" s="34"/>
      <x:c r="G105" s="34"/>
      <x:c r="H105" s="34"/>
      <x:c r="I105" s="35" t="str">
        <x:f>IF(B105="","",IF(COUNTIF('专家金标'!$A$5:$A$204,B105)=0,"未找到金标",IF(H105=INDEX('专家金标'!$J$5:$J$204,MATCH(B105,'专家金标'!$A$5:$A$204,0)),"是","否")))</x:f>
      </x:c>
      <x:c r="J105" s="34"/>
      <x:c r="K105" s="34"/>
      <x:c r="L105" s="34"/>
      <x:c r="M105" s="34"/>
      <x:c r="N105" s="34"/>
      <x:c r="O105" s="34"/>
      <x:c r="P105" s="34"/>
      <x:c r="Q105" s="35" t="str">
        <x:f>IF(B105="","",IF(I105&lt;&gt;"是","不通过",IF(O105&lt;&gt;"否","不通过",IF(H105="ANSWER",IF(AND(K105=2,L105=2,M105=2,N105=2),"通过","不通过"),IF(H105="CONFLICT",IF(AND(K105=2,L105=2,M105=2,N105=2,P105=2),"通过","不通过"),IF(H105="INSUFFICIENT_EVIDENCE","通过","待填写"))))))</x:f>
      </x:c>
      <x:c r="R105" s="34"/>
      <x:c r="S105" s="34"/>
      <x:c r="T105" s="34"/>
      <x:c r="U105" s="34"/>
      <x:c r="V105" s="34"/>
      <x:c r="W105" s="34"/>
      <x:c r="X105" s="34"/>
      <x:c r="Y105" s="34"/>
      <x:c r="Z105" s="34"/>
      <x:c r="AA105" s="34"/>
    </x:row>
    <x:row r="106" ht="34" customHeight="1">
      <x:c r="A106" s="34"/>
      <x:c r="B106" s="34"/>
      <x:c r="C106" s="34"/>
      <x:c r="D106" s="41"/>
      <x:c r="E106" s="34"/>
      <x:c r="F106" s="34"/>
      <x:c r="G106" s="34"/>
      <x:c r="H106" s="34"/>
      <x:c r="I106" s="35" t="str">
        <x:f>IF(B106="","",IF(COUNTIF('专家金标'!$A$5:$A$204,B106)=0,"未找到金标",IF(H106=INDEX('专家金标'!$J$5:$J$204,MATCH(B106,'专家金标'!$A$5:$A$204,0)),"是","否")))</x:f>
      </x:c>
      <x:c r="J106" s="34"/>
      <x:c r="K106" s="34"/>
      <x:c r="L106" s="34"/>
      <x:c r="M106" s="34"/>
      <x:c r="N106" s="34"/>
      <x:c r="O106" s="34"/>
      <x:c r="P106" s="34"/>
      <x:c r="Q106" s="35" t="str">
        <x:f>IF(B106="","",IF(I106&lt;&gt;"是","不通过",IF(O106&lt;&gt;"否","不通过",IF(H106="ANSWER",IF(AND(K106=2,L106=2,M106=2,N106=2),"通过","不通过"),IF(H106="CONFLICT",IF(AND(K106=2,L106=2,M106=2,N106=2,P106=2),"通过","不通过"),IF(H106="INSUFFICIENT_EVIDENCE","通过","待填写"))))))</x:f>
      </x:c>
      <x:c r="R106" s="34"/>
      <x:c r="S106" s="34"/>
      <x:c r="T106" s="34"/>
      <x:c r="U106" s="34"/>
      <x:c r="V106" s="34"/>
      <x:c r="W106" s="34"/>
      <x:c r="X106" s="34"/>
      <x:c r="Y106" s="34"/>
      <x:c r="Z106" s="34"/>
      <x:c r="AA106" s="34"/>
    </x:row>
    <x:row r="107" ht="34" customHeight="1">
      <x:c r="A107" s="34"/>
      <x:c r="B107" s="34"/>
      <x:c r="C107" s="34"/>
      <x:c r="D107" s="41"/>
      <x:c r="E107" s="34"/>
      <x:c r="F107" s="34"/>
      <x:c r="G107" s="34"/>
      <x:c r="H107" s="34"/>
      <x:c r="I107" s="35" t="str">
        <x:f>IF(B107="","",IF(COUNTIF('专家金标'!$A$5:$A$204,B107)=0,"未找到金标",IF(H107=INDEX('专家金标'!$J$5:$J$204,MATCH(B107,'专家金标'!$A$5:$A$204,0)),"是","否")))</x:f>
      </x:c>
      <x:c r="J107" s="34"/>
      <x:c r="K107" s="34"/>
      <x:c r="L107" s="34"/>
      <x:c r="M107" s="34"/>
      <x:c r="N107" s="34"/>
      <x:c r="O107" s="34"/>
      <x:c r="P107" s="34"/>
      <x:c r="Q107" s="35" t="str">
        <x:f>IF(B107="","",IF(I107&lt;&gt;"是","不通过",IF(O107&lt;&gt;"否","不通过",IF(H107="ANSWER",IF(AND(K107=2,L107=2,M107=2,N107=2),"通过","不通过"),IF(H107="CONFLICT",IF(AND(K107=2,L107=2,M107=2,N107=2,P107=2),"通过","不通过"),IF(H107="INSUFFICIENT_EVIDENCE","通过","待填写"))))))</x:f>
      </x:c>
      <x:c r="R107" s="34"/>
      <x:c r="S107" s="34"/>
      <x:c r="T107" s="34"/>
      <x:c r="U107" s="34"/>
      <x:c r="V107" s="34"/>
      <x:c r="W107" s="34"/>
      <x:c r="X107" s="34"/>
      <x:c r="Y107" s="34"/>
      <x:c r="Z107" s="34"/>
      <x:c r="AA107" s="34"/>
    </x:row>
    <x:row r="108" ht="34" customHeight="1">
      <x:c r="A108" s="34"/>
      <x:c r="B108" s="34"/>
      <x:c r="C108" s="34"/>
      <x:c r="D108" s="41"/>
      <x:c r="E108" s="34"/>
      <x:c r="F108" s="34"/>
      <x:c r="G108" s="34"/>
      <x:c r="H108" s="34"/>
      <x:c r="I108" s="35" t="str">
        <x:f>IF(B108="","",IF(COUNTIF('专家金标'!$A$5:$A$204,B108)=0,"未找到金标",IF(H108=INDEX('专家金标'!$J$5:$J$204,MATCH(B108,'专家金标'!$A$5:$A$204,0)),"是","否")))</x:f>
      </x:c>
      <x:c r="J108" s="34"/>
      <x:c r="K108" s="34"/>
      <x:c r="L108" s="34"/>
      <x:c r="M108" s="34"/>
      <x:c r="N108" s="34"/>
      <x:c r="O108" s="34"/>
      <x:c r="P108" s="34"/>
      <x:c r="Q108" s="35" t="str">
        <x:f>IF(B108="","",IF(I108&lt;&gt;"是","不通过",IF(O108&lt;&gt;"否","不通过",IF(H108="ANSWER",IF(AND(K108=2,L108=2,M108=2,N108=2),"通过","不通过"),IF(H108="CONFLICT",IF(AND(K108=2,L108=2,M108=2,N108=2,P108=2),"通过","不通过"),IF(H108="INSUFFICIENT_EVIDENCE","通过","待填写"))))))</x:f>
      </x:c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</x:row>
    <x:row r="109" ht="34" customHeight="1">
      <x:c r="A109" s="34"/>
      <x:c r="B109" s="34"/>
      <x:c r="C109" s="34"/>
      <x:c r="D109" s="41"/>
      <x:c r="E109" s="34"/>
      <x:c r="F109" s="34"/>
      <x:c r="G109" s="34"/>
      <x:c r="H109" s="34"/>
      <x:c r="I109" s="35" t="str">
        <x:f>IF(B109="","",IF(COUNTIF('专家金标'!$A$5:$A$204,B109)=0,"未找到金标",IF(H109=INDEX('专家金标'!$J$5:$J$204,MATCH(B109,'专家金标'!$A$5:$A$204,0)),"是","否")))</x:f>
      </x:c>
      <x:c r="J109" s="34"/>
      <x:c r="K109" s="34"/>
      <x:c r="L109" s="34"/>
      <x:c r="M109" s="34"/>
      <x:c r="N109" s="34"/>
      <x:c r="O109" s="34"/>
      <x:c r="P109" s="34"/>
      <x:c r="Q109" s="35" t="str">
        <x:f>IF(B109="","",IF(I109&lt;&gt;"是","不通过",IF(O109&lt;&gt;"否","不通过",IF(H109="ANSWER",IF(AND(K109=2,L109=2,M109=2,N109=2),"通过","不通过"),IF(H109="CONFLICT",IF(AND(K109=2,L109=2,M109=2,N109=2,P109=2),"通过","不通过"),IF(H109="INSUFFICIENT_EVIDENCE","通过","待填写"))))))</x:f>
      </x:c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</x:row>
    <x:row r="110" ht="34" customHeight="1">
      <x:c r="A110" s="34"/>
      <x:c r="B110" s="34"/>
      <x:c r="C110" s="34"/>
      <x:c r="D110" s="41"/>
      <x:c r="E110" s="34"/>
      <x:c r="F110" s="34"/>
      <x:c r="G110" s="34"/>
      <x:c r="H110" s="34"/>
      <x:c r="I110" s="35" t="str">
        <x:f>IF(B110="","",IF(COUNTIF('专家金标'!$A$5:$A$204,B110)=0,"未找到金标",IF(H110=INDEX('专家金标'!$J$5:$J$204,MATCH(B110,'专家金标'!$A$5:$A$204,0)),"是","否")))</x:f>
      </x:c>
      <x:c r="J110" s="34"/>
      <x:c r="K110" s="34"/>
      <x:c r="L110" s="34"/>
      <x:c r="M110" s="34"/>
      <x:c r="N110" s="34"/>
      <x:c r="O110" s="34"/>
      <x:c r="P110" s="34"/>
      <x:c r="Q110" s="35" t="str">
        <x:f>IF(B110="","",IF(I110&lt;&gt;"是","不通过",IF(O110&lt;&gt;"否","不通过",IF(H110="ANSWER",IF(AND(K110=2,L110=2,M110=2,N110=2),"通过","不通过"),IF(H110="CONFLICT",IF(AND(K110=2,L110=2,M110=2,N110=2,P110=2),"通过","不通过"),IF(H110="INSUFFICIENT_EVIDENCE","通过","待填写"))))))</x:f>
      </x:c>
      <x:c r="R110" s="34"/>
      <x:c r="S110" s="34"/>
      <x:c r="T110" s="34"/>
      <x:c r="U110" s="34"/>
      <x:c r="V110" s="34"/>
      <x:c r="W110" s="34"/>
      <x:c r="X110" s="34"/>
      <x:c r="Y110" s="34"/>
      <x:c r="Z110" s="34"/>
      <x:c r="AA110" s="34"/>
    </x:row>
    <x:row r="111" ht="34" customHeight="1">
      <x:c r="A111" s="34"/>
      <x:c r="B111" s="34"/>
      <x:c r="C111" s="34"/>
      <x:c r="D111" s="41"/>
      <x:c r="E111" s="34"/>
      <x:c r="F111" s="34"/>
      <x:c r="G111" s="34"/>
      <x:c r="H111" s="34"/>
      <x:c r="I111" s="35" t="str">
        <x:f>IF(B111="","",IF(COUNTIF('专家金标'!$A$5:$A$204,B111)=0,"未找到金标",IF(H111=INDEX('专家金标'!$J$5:$J$204,MATCH(B111,'专家金标'!$A$5:$A$204,0)),"是","否")))</x:f>
      </x:c>
      <x:c r="J111" s="34"/>
      <x:c r="K111" s="34"/>
      <x:c r="L111" s="34"/>
      <x:c r="M111" s="34"/>
      <x:c r="N111" s="34"/>
      <x:c r="O111" s="34"/>
      <x:c r="P111" s="34"/>
      <x:c r="Q111" s="35" t="str">
        <x:f>IF(B111="","",IF(I111&lt;&gt;"是","不通过",IF(O111&lt;&gt;"否","不通过",IF(H111="ANSWER",IF(AND(K111=2,L111=2,M111=2,N111=2),"通过","不通过"),IF(H111="CONFLICT",IF(AND(K111=2,L111=2,M111=2,N111=2,P111=2),"通过","不通过"),IF(H111="INSUFFICIENT_EVIDENCE","通过","待填写"))))))</x:f>
      </x:c>
      <x:c r="R111" s="34"/>
      <x:c r="S111" s="34"/>
      <x:c r="T111" s="34"/>
      <x:c r="U111" s="34"/>
      <x:c r="V111" s="34"/>
      <x:c r="W111" s="34"/>
      <x:c r="X111" s="34"/>
      <x:c r="Y111" s="34"/>
      <x:c r="Z111" s="34"/>
      <x:c r="AA111" s="34"/>
    </x:row>
    <x:row r="112" ht="34" customHeight="1">
      <x:c r="A112" s="34"/>
      <x:c r="B112" s="34"/>
      <x:c r="C112" s="34"/>
      <x:c r="D112" s="41"/>
      <x:c r="E112" s="34"/>
      <x:c r="F112" s="34"/>
      <x:c r="G112" s="34"/>
      <x:c r="H112" s="34"/>
      <x:c r="I112" s="35" t="str">
        <x:f>IF(B112="","",IF(COUNTIF('专家金标'!$A$5:$A$204,B112)=0,"未找到金标",IF(H112=INDEX('专家金标'!$J$5:$J$204,MATCH(B112,'专家金标'!$A$5:$A$204,0)),"是","否")))</x:f>
      </x:c>
      <x:c r="J112" s="34"/>
      <x:c r="K112" s="34"/>
      <x:c r="L112" s="34"/>
      <x:c r="M112" s="34"/>
      <x:c r="N112" s="34"/>
      <x:c r="O112" s="34"/>
      <x:c r="P112" s="34"/>
      <x:c r="Q112" s="35" t="str">
        <x:f>IF(B112="","",IF(I112&lt;&gt;"是","不通过",IF(O112&lt;&gt;"否","不通过",IF(H112="ANSWER",IF(AND(K112=2,L112=2,M112=2,N112=2),"通过","不通过"),IF(H112="CONFLICT",IF(AND(K112=2,L112=2,M112=2,N112=2,P112=2),"通过","不通过"),IF(H112="INSUFFICIENT_EVIDENCE","通过","待填写"))))))</x:f>
      </x:c>
      <x:c r="R112" s="34"/>
      <x:c r="S112" s="34"/>
      <x:c r="T112" s="34"/>
      <x:c r="U112" s="34"/>
      <x:c r="V112" s="34"/>
      <x:c r="W112" s="34"/>
      <x:c r="X112" s="34"/>
      <x:c r="Y112" s="34"/>
      <x:c r="Z112" s="34"/>
      <x:c r="AA112" s="34"/>
    </x:row>
    <x:row r="113" ht="34" customHeight="1">
      <x:c r="A113" s="34"/>
      <x:c r="B113" s="34"/>
      <x:c r="C113" s="34"/>
      <x:c r="D113" s="41"/>
      <x:c r="E113" s="34"/>
      <x:c r="F113" s="34"/>
      <x:c r="G113" s="34"/>
      <x:c r="H113" s="34"/>
      <x:c r="I113" s="35" t="str">
        <x:f>IF(B113="","",IF(COUNTIF('专家金标'!$A$5:$A$204,B113)=0,"未找到金标",IF(H113=INDEX('专家金标'!$J$5:$J$204,MATCH(B113,'专家金标'!$A$5:$A$204,0)),"是","否")))</x:f>
      </x:c>
      <x:c r="J113" s="34"/>
      <x:c r="K113" s="34"/>
      <x:c r="L113" s="34"/>
      <x:c r="M113" s="34"/>
      <x:c r="N113" s="34"/>
      <x:c r="O113" s="34"/>
      <x:c r="P113" s="34"/>
      <x:c r="Q113" s="35" t="str">
        <x:f>IF(B113="","",IF(I113&lt;&gt;"是","不通过",IF(O113&lt;&gt;"否","不通过",IF(H113="ANSWER",IF(AND(K113=2,L113=2,M113=2,N113=2),"通过","不通过"),IF(H113="CONFLICT",IF(AND(K113=2,L113=2,M113=2,N113=2,P113=2),"通过","不通过"),IF(H113="INSUFFICIENT_EVIDENCE","通过","待填写"))))))</x:f>
      </x:c>
      <x:c r="R113" s="34"/>
      <x:c r="S113" s="34"/>
      <x:c r="T113" s="34"/>
      <x:c r="U113" s="34"/>
      <x:c r="V113" s="34"/>
      <x:c r="W113" s="34"/>
      <x:c r="X113" s="34"/>
      <x:c r="Y113" s="34"/>
      <x:c r="Z113" s="34"/>
      <x:c r="AA113" s="34"/>
    </x:row>
    <x:row r="114" ht="34" customHeight="1">
      <x:c r="A114" s="34"/>
      <x:c r="B114" s="34"/>
      <x:c r="C114" s="34"/>
      <x:c r="D114" s="41"/>
      <x:c r="E114" s="34"/>
      <x:c r="F114" s="34"/>
      <x:c r="G114" s="34"/>
      <x:c r="H114" s="34"/>
      <x:c r="I114" s="35" t="str">
        <x:f>IF(B114="","",IF(COUNTIF('专家金标'!$A$5:$A$204,B114)=0,"未找到金标",IF(H114=INDEX('专家金标'!$J$5:$J$204,MATCH(B114,'专家金标'!$A$5:$A$204,0)),"是","否")))</x:f>
      </x:c>
      <x:c r="J114" s="34"/>
      <x:c r="K114" s="34"/>
      <x:c r="L114" s="34"/>
      <x:c r="M114" s="34"/>
      <x:c r="N114" s="34"/>
      <x:c r="O114" s="34"/>
      <x:c r="P114" s="34"/>
      <x:c r="Q114" s="35" t="str">
        <x:f>IF(B114="","",IF(I114&lt;&gt;"是","不通过",IF(O114&lt;&gt;"否","不通过",IF(H114="ANSWER",IF(AND(K114=2,L114=2,M114=2,N114=2),"通过","不通过"),IF(H114="CONFLICT",IF(AND(K114=2,L114=2,M114=2,N114=2,P114=2),"通过","不通过"),IF(H114="INSUFFICIENT_EVIDENCE","通过","待填写"))))))</x:f>
      </x:c>
      <x:c r="R114" s="34"/>
      <x:c r="S114" s="34"/>
      <x:c r="T114" s="34"/>
      <x:c r="U114" s="34"/>
      <x:c r="V114" s="34"/>
      <x:c r="W114" s="34"/>
      <x:c r="X114" s="34"/>
      <x:c r="Y114" s="34"/>
      <x:c r="Z114" s="34"/>
      <x:c r="AA114" s="34"/>
    </x:row>
    <x:row r="115" ht="34" customHeight="1">
      <x:c r="A115" s="34"/>
      <x:c r="B115" s="34"/>
      <x:c r="C115" s="34"/>
      <x:c r="D115" s="41"/>
      <x:c r="E115" s="34"/>
      <x:c r="F115" s="34"/>
      <x:c r="G115" s="34"/>
      <x:c r="H115" s="34"/>
      <x:c r="I115" s="35" t="str">
        <x:f>IF(B115="","",IF(COUNTIF('专家金标'!$A$5:$A$204,B115)=0,"未找到金标",IF(H115=INDEX('专家金标'!$J$5:$J$204,MATCH(B115,'专家金标'!$A$5:$A$204,0)),"是","否")))</x:f>
      </x:c>
      <x:c r="J115" s="34"/>
      <x:c r="K115" s="34"/>
      <x:c r="L115" s="34"/>
      <x:c r="M115" s="34"/>
      <x:c r="N115" s="34"/>
      <x:c r="O115" s="34"/>
      <x:c r="P115" s="34"/>
      <x:c r="Q115" s="35" t="str">
        <x:f>IF(B115="","",IF(I115&lt;&gt;"是","不通过",IF(O115&lt;&gt;"否","不通过",IF(H115="ANSWER",IF(AND(K115=2,L115=2,M115=2,N115=2),"通过","不通过"),IF(H115="CONFLICT",IF(AND(K115=2,L115=2,M115=2,N115=2,P115=2),"通过","不通过"),IF(H115="INSUFFICIENT_EVIDENCE","通过","待填写"))))))</x:f>
      </x:c>
      <x:c r="R115" s="34"/>
      <x:c r="S115" s="34"/>
      <x:c r="T115" s="34"/>
      <x:c r="U115" s="34"/>
      <x:c r="V115" s="34"/>
      <x:c r="W115" s="34"/>
      <x:c r="X115" s="34"/>
      <x:c r="Y115" s="34"/>
      <x:c r="Z115" s="34"/>
      <x:c r="AA115" s="34"/>
    </x:row>
    <x:row r="116" ht="34" customHeight="1">
      <x:c r="A116" s="34"/>
      <x:c r="B116" s="34"/>
      <x:c r="C116" s="34"/>
      <x:c r="D116" s="41"/>
      <x:c r="E116" s="34"/>
      <x:c r="F116" s="34"/>
      <x:c r="G116" s="34"/>
      <x:c r="H116" s="34"/>
      <x:c r="I116" s="35" t="str">
        <x:f>IF(B116="","",IF(COUNTIF('专家金标'!$A$5:$A$204,B116)=0,"未找到金标",IF(H116=INDEX('专家金标'!$J$5:$J$204,MATCH(B116,'专家金标'!$A$5:$A$204,0)),"是","否")))</x:f>
      </x:c>
      <x:c r="J116" s="34"/>
      <x:c r="K116" s="34"/>
      <x:c r="L116" s="34"/>
      <x:c r="M116" s="34"/>
      <x:c r="N116" s="34"/>
      <x:c r="O116" s="34"/>
      <x:c r="P116" s="34"/>
      <x:c r="Q116" s="35" t="str">
        <x:f>IF(B116="","",IF(I116&lt;&gt;"是","不通过",IF(O116&lt;&gt;"否","不通过",IF(H116="ANSWER",IF(AND(K116=2,L116=2,M116=2,N116=2),"通过","不通过"),IF(H116="CONFLICT",IF(AND(K116=2,L116=2,M116=2,N116=2,P116=2),"通过","不通过"),IF(H116="INSUFFICIENT_EVIDENCE","通过","待填写"))))))</x:f>
      </x:c>
      <x:c r="R116" s="34"/>
      <x:c r="S116" s="34"/>
      <x:c r="T116" s="34"/>
      <x:c r="U116" s="34"/>
      <x:c r="V116" s="34"/>
      <x:c r="W116" s="34"/>
      <x:c r="X116" s="34"/>
      <x:c r="Y116" s="34"/>
      <x:c r="Z116" s="34"/>
      <x:c r="AA116" s="34"/>
    </x:row>
    <x:row r="117" ht="34" customHeight="1">
      <x:c r="A117" s="34"/>
      <x:c r="B117" s="34"/>
      <x:c r="C117" s="34"/>
      <x:c r="D117" s="41"/>
      <x:c r="E117" s="34"/>
      <x:c r="F117" s="34"/>
      <x:c r="G117" s="34"/>
      <x:c r="H117" s="34"/>
      <x:c r="I117" s="35" t="str">
        <x:f>IF(B117="","",IF(COUNTIF('专家金标'!$A$5:$A$204,B117)=0,"未找到金标",IF(H117=INDEX('专家金标'!$J$5:$J$204,MATCH(B117,'专家金标'!$A$5:$A$204,0)),"是","否")))</x:f>
      </x:c>
      <x:c r="J117" s="34"/>
      <x:c r="K117" s="34"/>
      <x:c r="L117" s="34"/>
      <x:c r="M117" s="34"/>
      <x:c r="N117" s="34"/>
      <x:c r="O117" s="34"/>
      <x:c r="P117" s="34"/>
      <x:c r="Q117" s="35" t="str">
        <x:f>IF(B117="","",IF(I117&lt;&gt;"是","不通过",IF(O117&lt;&gt;"否","不通过",IF(H117="ANSWER",IF(AND(K117=2,L117=2,M117=2,N117=2),"通过","不通过"),IF(H117="CONFLICT",IF(AND(K117=2,L117=2,M117=2,N117=2,P117=2),"通过","不通过"),IF(H117="INSUFFICIENT_EVIDENCE","通过","待填写"))))))</x:f>
      </x:c>
      <x:c r="R117" s="34"/>
      <x:c r="S117" s="34"/>
      <x:c r="T117" s="34"/>
      <x:c r="U117" s="34"/>
      <x:c r="V117" s="34"/>
      <x:c r="W117" s="34"/>
      <x:c r="X117" s="34"/>
      <x:c r="Y117" s="34"/>
      <x:c r="Z117" s="34"/>
      <x:c r="AA117" s="34"/>
    </x:row>
    <x:row r="118" ht="34" customHeight="1">
      <x:c r="A118" s="34"/>
      <x:c r="B118" s="34"/>
      <x:c r="C118" s="34"/>
      <x:c r="D118" s="41"/>
      <x:c r="E118" s="34"/>
      <x:c r="F118" s="34"/>
      <x:c r="G118" s="34"/>
      <x:c r="H118" s="34"/>
      <x:c r="I118" s="35" t="str">
        <x:f>IF(B118="","",IF(COUNTIF('专家金标'!$A$5:$A$204,B118)=0,"未找到金标",IF(H118=INDEX('专家金标'!$J$5:$J$204,MATCH(B118,'专家金标'!$A$5:$A$204,0)),"是","否")))</x:f>
      </x:c>
      <x:c r="J118" s="34"/>
      <x:c r="K118" s="34"/>
      <x:c r="L118" s="34"/>
      <x:c r="M118" s="34"/>
      <x:c r="N118" s="34"/>
      <x:c r="O118" s="34"/>
      <x:c r="P118" s="34"/>
      <x:c r="Q118" s="35" t="str">
        <x:f>IF(B118="","",IF(I118&lt;&gt;"是","不通过",IF(O118&lt;&gt;"否","不通过",IF(H118="ANSWER",IF(AND(K118=2,L118=2,M118=2,N118=2),"通过","不通过"),IF(H118="CONFLICT",IF(AND(K118=2,L118=2,M118=2,N118=2,P118=2),"通过","不通过"),IF(H118="INSUFFICIENT_EVIDENCE","通过","待填写"))))))</x:f>
      </x:c>
      <x:c r="R118" s="34"/>
      <x:c r="S118" s="34"/>
      <x:c r="T118" s="34"/>
      <x:c r="U118" s="34"/>
      <x:c r="V118" s="34"/>
      <x:c r="W118" s="34"/>
      <x:c r="X118" s="34"/>
      <x:c r="Y118" s="34"/>
      <x:c r="Z118" s="34"/>
      <x:c r="AA118" s="34"/>
    </x:row>
    <x:row r="119" ht="34" customHeight="1">
      <x:c r="A119" s="34"/>
      <x:c r="B119" s="34"/>
      <x:c r="C119" s="34"/>
      <x:c r="D119" s="41"/>
      <x:c r="E119" s="34"/>
      <x:c r="F119" s="34"/>
      <x:c r="G119" s="34"/>
      <x:c r="H119" s="34"/>
      <x:c r="I119" s="35" t="str">
        <x:f>IF(B119="","",IF(COUNTIF('专家金标'!$A$5:$A$204,B119)=0,"未找到金标",IF(H119=INDEX('专家金标'!$J$5:$J$204,MATCH(B119,'专家金标'!$A$5:$A$204,0)),"是","否")))</x:f>
      </x:c>
      <x:c r="J119" s="34"/>
      <x:c r="K119" s="34"/>
      <x:c r="L119" s="34"/>
      <x:c r="M119" s="34"/>
      <x:c r="N119" s="34"/>
      <x:c r="O119" s="34"/>
      <x:c r="P119" s="34"/>
      <x:c r="Q119" s="35" t="str">
        <x:f>IF(B119="","",IF(I119&lt;&gt;"是","不通过",IF(O119&lt;&gt;"否","不通过",IF(H119="ANSWER",IF(AND(K119=2,L119=2,M119=2,N119=2),"通过","不通过"),IF(H119="CONFLICT",IF(AND(K119=2,L119=2,M119=2,N119=2,P119=2),"通过","不通过"),IF(H119="INSUFFICIENT_EVIDENCE","通过","待填写"))))))</x:f>
      </x:c>
      <x:c r="R119" s="34"/>
      <x:c r="S119" s="34"/>
      <x:c r="T119" s="34"/>
      <x:c r="U119" s="34"/>
      <x:c r="V119" s="34"/>
      <x:c r="W119" s="34"/>
      <x:c r="X119" s="34"/>
      <x:c r="Y119" s="34"/>
      <x:c r="Z119" s="34"/>
      <x:c r="AA119" s="34"/>
    </x:row>
    <x:row r="120" ht="34" customHeight="1">
      <x:c r="A120" s="34"/>
      <x:c r="B120" s="34"/>
      <x:c r="C120" s="34"/>
      <x:c r="D120" s="41"/>
      <x:c r="E120" s="34"/>
      <x:c r="F120" s="34"/>
      <x:c r="G120" s="34"/>
      <x:c r="H120" s="34"/>
      <x:c r="I120" s="35" t="str">
        <x:f>IF(B120="","",IF(COUNTIF('专家金标'!$A$5:$A$204,B120)=0,"未找到金标",IF(H120=INDEX('专家金标'!$J$5:$J$204,MATCH(B120,'专家金标'!$A$5:$A$204,0)),"是","否")))</x:f>
      </x:c>
      <x:c r="J120" s="34"/>
      <x:c r="K120" s="34"/>
      <x:c r="L120" s="34"/>
      <x:c r="M120" s="34"/>
      <x:c r="N120" s="34"/>
      <x:c r="O120" s="34"/>
      <x:c r="P120" s="34"/>
      <x:c r="Q120" s="35" t="str">
        <x:f>IF(B120="","",IF(I120&lt;&gt;"是","不通过",IF(O120&lt;&gt;"否","不通过",IF(H120="ANSWER",IF(AND(K120=2,L120=2,M120=2,N120=2),"通过","不通过"),IF(H120="CONFLICT",IF(AND(K120=2,L120=2,M120=2,N120=2,P120=2),"通过","不通过"),IF(H120="INSUFFICIENT_EVIDENCE","通过","待填写"))))))</x:f>
      </x:c>
      <x:c r="R120" s="34"/>
      <x:c r="S120" s="34"/>
      <x:c r="T120" s="34"/>
      <x:c r="U120" s="34"/>
      <x:c r="V120" s="34"/>
      <x:c r="W120" s="34"/>
      <x:c r="X120" s="34"/>
      <x:c r="Y120" s="34"/>
      <x:c r="Z120" s="34"/>
      <x:c r="AA120" s="34"/>
    </x:row>
    <x:row r="121" ht="34" customHeight="1">
      <x:c r="A121" s="34"/>
      <x:c r="B121" s="34"/>
      <x:c r="C121" s="34"/>
      <x:c r="D121" s="41"/>
      <x:c r="E121" s="34"/>
      <x:c r="F121" s="34"/>
      <x:c r="G121" s="34"/>
      <x:c r="H121" s="34"/>
      <x:c r="I121" s="35" t="str">
        <x:f>IF(B121="","",IF(COUNTIF('专家金标'!$A$5:$A$204,B121)=0,"未找到金标",IF(H121=INDEX('专家金标'!$J$5:$J$204,MATCH(B121,'专家金标'!$A$5:$A$204,0)),"是","否")))</x:f>
      </x:c>
      <x:c r="J121" s="34"/>
      <x:c r="K121" s="34"/>
      <x:c r="L121" s="34"/>
      <x:c r="M121" s="34"/>
      <x:c r="N121" s="34"/>
      <x:c r="O121" s="34"/>
      <x:c r="P121" s="34"/>
      <x:c r="Q121" s="35" t="str">
        <x:f>IF(B121="","",IF(I121&lt;&gt;"是","不通过",IF(O121&lt;&gt;"否","不通过",IF(H121="ANSWER",IF(AND(K121=2,L121=2,M121=2,N121=2),"通过","不通过"),IF(H121="CONFLICT",IF(AND(K121=2,L121=2,M121=2,N121=2,P121=2),"通过","不通过"),IF(H121="INSUFFICIENT_EVIDENCE","通过","待填写"))))))</x:f>
      </x:c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</x:row>
    <x:row r="122" ht="34" customHeight="1">
      <x:c r="A122" s="34"/>
      <x:c r="B122" s="34"/>
      <x:c r="C122" s="34"/>
      <x:c r="D122" s="41"/>
      <x:c r="E122" s="34"/>
      <x:c r="F122" s="34"/>
      <x:c r="G122" s="34"/>
      <x:c r="H122" s="34"/>
      <x:c r="I122" s="35" t="str">
        <x:f>IF(B122="","",IF(COUNTIF('专家金标'!$A$5:$A$204,B122)=0,"未找到金标",IF(H122=INDEX('专家金标'!$J$5:$J$204,MATCH(B122,'专家金标'!$A$5:$A$204,0)),"是","否")))</x:f>
      </x:c>
      <x:c r="J122" s="34"/>
      <x:c r="K122" s="34"/>
      <x:c r="L122" s="34"/>
      <x:c r="M122" s="34"/>
      <x:c r="N122" s="34"/>
      <x:c r="O122" s="34"/>
      <x:c r="P122" s="34"/>
      <x:c r="Q122" s="35" t="str">
        <x:f>IF(B122="","",IF(I122&lt;&gt;"是","不通过",IF(O122&lt;&gt;"否","不通过",IF(H122="ANSWER",IF(AND(K122=2,L122=2,M122=2,N122=2),"通过","不通过"),IF(H122="CONFLICT",IF(AND(K122=2,L122=2,M122=2,N122=2,P122=2),"通过","不通过"),IF(H122="INSUFFICIENT_EVIDENCE","通过","待填写"))))))</x:f>
      </x:c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</x:row>
    <x:row r="123" ht="34" customHeight="1">
      <x:c r="A123" s="34"/>
      <x:c r="B123" s="34"/>
      <x:c r="C123" s="34"/>
      <x:c r="D123" s="41"/>
      <x:c r="E123" s="34"/>
      <x:c r="F123" s="34"/>
      <x:c r="G123" s="34"/>
      <x:c r="H123" s="34"/>
      <x:c r="I123" s="35" t="str">
        <x:f>IF(B123="","",IF(COUNTIF('专家金标'!$A$5:$A$204,B123)=0,"未找到金标",IF(H123=INDEX('专家金标'!$J$5:$J$204,MATCH(B123,'专家金标'!$A$5:$A$204,0)),"是","否")))</x:f>
      </x:c>
      <x:c r="J123" s="34"/>
      <x:c r="K123" s="34"/>
      <x:c r="L123" s="34"/>
      <x:c r="M123" s="34"/>
      <x:c r="N123" s="34"/>
      <x:c r="O123" s="34"/>
      <x:c r="P123" s="34"/>
      <x:c r="Q123" s="35" t="str">
        <x:f>IF(B123="","",IF(I123&lt;&gt;"是","不通过",IF(O123&lt;&gt;"否","不通过",IF(H123="ANSWER",IF(AND(K123=2,L123=2,M123=2,N123=2),"通过","不通过"),IF(H123="CONFLICT",IF(AND(K123=2,L123=2,M123=2,N123=2,P123=2),"通过","不通过"),IF(H123="INSUFFICIENT_EVIDENCE","通过","待填写"))))))</x:f>
      </x:c>
      <x:c r="R123" s="34"/>
      <x:c r="S123" s="34"/>
      <x:c r="T123" s="34"/>
      <x:c r="U123" s="34"/>
      <x:c r="V123" s="34"/>
      <x:c r="W123" s="34"/>
      <x:c r="X123" s="34"/>
      <x:c r="Y123" s="34"/>
      <x:c r="Z123" s="34"/>
      <x:c r="AA123" s="34"/>
    </x:row>
    <x:row r="124" ht="34" customHeight="1">
      <x:c r="A124" s="34"/>
      <x:c r="B124" s="34"/>
      <x:c r="C124" s="34"/>
      <x:c r="D124" s="41"/>
      <x:c r="E124" s="34"/>
      <x:c r="F124" s="34"/>
      <x:c r="G124" s="34"/>
      <x:c r="H124" s="34"/>
      <x:c r="I124" s="35" t="str">
        <x:f>IF(B124="","",IF(COUNTIF('专家金标'!$A$5:$A$204,B124)=0,"未找到金标",IF(H124=INDEX('专家金标'!$J$5:$J$204,MATCH(B124,'专家金标'!$A$5:$A$204,0)),"是","否")))</x:f>
      </x:c>
      <x:c r="J124" s="34"/>
      <x:c r="K124" s="34"/>
      <x:c r="L124" s="34"/>
      <x:c r="M124" s="34"/>
      <x:c r="N124" s="34"/>
      <x:c r="O124" s="34"/>
      <x:c r="P124" s="34"/>
      <x:c r="Q124" s="35" t="str">
        <x:f>IF(B124="","",IF(I124&lt;&gt;"是","不通过",IF(O124&lt;&gt;"否","不通过",IF(H124="ANSWER",IF(AND(K124=2,L124=2,M124=2,N124=2),"通过","不通过"),IF(H124="CONFLICT",IF(AND(K124=2,L124=2,M124=2,N124=2,P124=2),"通过","不通过"),IF(H124="INSUFFICIENT_EVIDENCE","通过","待填写"))))))</x:f>
      </x:c>
      <x:c r="R124" s="34"/>
      <x:c r="S124" s="34"/>
      <x:c r="T124" s="34"/>
      <x:c r="U124" s="34"/>
      <x:c r="V124" s="34"/>
      <x:c r="W124" s="34"/>
      <x:c r="X124" s="34"/>
      <x:c r="Y124" s="34"/>
      <x:c r="Z124" s="34"/>
      <x:c r="AA124" s="34"/>
    </x:row>
    <x:row r="125" ht="34" customHeight="1">
      <x:c r="A125" s="34"/>
      <x:c r="B125" s="34"/>
      <x:c r="C125" s="34"/>
      <x:c r="D125" s="41"/>
      <x:c r="E125" s="34"/>
      <x:c r="F125" s="34"/>
      <x:c r="G125" s="34"/>
      <x:c r="H125" s="34"/>
      <x:c r="I125" s="35" t="str">
        <x:f>IF(B125="","",IF(COUNTIF('专家金标'!$A$5:$A$204,B125)=0,"未找到金标",IF(H125=INDEX('专家金标'!$J$5:$J$204,MATCH(B125,'专家金标'!$A$5:$A$204,0)),"是","否")))</x:f>
      </x:c>
      <x:c r="J125" s="34"/>
      <x:c r="K125" s="34"/>
      <x:c r="L125" s="34"/>
      <x:c r="M125" s="34"/>
      <x:c r="N125" s="34"/>
      <x:c r="O125" s="34"/>
      <x:c r="P125" s="34"/>
      <x:c r="Q125" s="35" t="str">
        <x:f>IF(B125="","",IF(I125&lt;&gt;"是","不通过",IF(O125&lt;&gt;"否","不通过",IF(H125="ANSWER",IF(AND(K125=2,L125=2,M125=2,N125=2),"通过","不通过"),IF(H125="CONFLICT",IF(AND(K125=2,L125=2,M125=2,N125=2,P125=2),"通过","不通过"),IF(H125="INSUFFICIENT_EVIDENCE","通过","待填写"))))))</x:f>
      </x:c>
      <x:c r="R125" s="34"/>
      <x:c r="S125" s="34"/>
      <x:c r="T125" s="34"/>
      <x:c r="U125" s="34"/>
      <x:c r="V125" s="34"/>
      <x:c r="W125" s="34"/>
      <x:c r="X125" s="34"/>
      <x:c r="Y125" s="34"/>
      <x:c r="Z125" s="34"/>
      <x:c r="AA125" s="34"/>
    </x:row>
    <x:row r="126" ht="34" customHeight="1">
      <x:c r="A126" s="34"/>
      <x:c r="B126" s="34"/>
      <x:c r="C126" s="34"/>
      <x:c r="D126" s="41"/>
      <x:c r="E126" s="34"/>
      <x:c r="F126" s="34"/>
      <x:c r="G126" s="34"/>
      <x:c r="H126" s="34"/>
      <x:c r="I126" s="35" t="str">
        <x:f>IF(B126="","",IF(COUNTIF('专家金标'!$A$5:$A$204,B126)=0,"未找到金标",IF(H126=INDEX('专家金标'!$J$5:$J$204,MATCH(B126,'专家金标'!$A$5:$A$204,0)),"是","否")))</x:f>
      </x:c>
      <x:c r="J126" s="34"/>
      <x:c r="K126" s="34"/>
      <x:c r="L126" s="34"/>
      <x:c r="M126" s="34"/>
      <x:c r="N126" s="34"/>
      <x:c r="O126" s="34"/>
      <x:c r="P126" s="34"/>
      <x:c r="Q126" s="35" t="str">
        <x:f>IF(B126="","",IF(I126&lt;&gt;"是","不通过",IF(O126&lt;&gt;"否","不通过",IF(H126="ANSWER",IF(AND(K126=2,L126=2,M126=2,N126=2),"通过","不通过"),IF(H126="CONFLICT",IF(AND(K126=2,L126=2,M126=2,N126=2,P126=2),"通过","不通过"),IF(H126="INSUFFICIENT_EVIDENCE","通过","待填写"))))))</x:f>
      </x:c>
      <x:c r="R126" s="34"/>
      <x:c r="S126" s="34"/>
      <x:c r="T126" s="34"/>
      <x:c r="U126" s="34"/>
      <x:c r="V126" s="34"/>
      <x:c r="W126" s="34"/>
      <x:c r="X126" s="34"/>
      <x:c r="Y126" s="34"/>
      <x:c r="Z126" s="34"/>
      <x:c r="AA126" s="34"/>
    </x:row>
    <x:row r="127" ht="34" customHeight="1">
      <x:c r="A127" s="34"/>
      <x:c r="B127" s="34"/>
      <x:c r="C127" s="34"/>
      <x:c r="D127" s="41"/>
      <x:c r="E127" s="34"/>
      <x:c r="F127" s="34"/>
      <x:c r="G127" s="34"/>
      <x:c r="H127" s="34"/>
      <x:c r="I127" s="35" t="str">
        <x:f>IF(B127="","",IF(COUNTIF('专家金标'!$A$5:$A$204,B127)=0,"未找到金标",IF(H127=INDEX('专家金标'!$J$5:$J$204,MATCH(B127,'专家金标'!$A$5:$A$204,0)),"是","否")))</x:f>
      </x:c>
      <x:c r="J127" s="34"/>
      <x:c r="K127" s="34"/>
      <x:c r="L127" s="34"/>
      <x:c r="M127" s="34"/>
      <x:c r="N127" s="34"/>
      <x:c r="O127" s="34"/>
      <x:c r="P127" s="34"/>
      <x:c r="Q127" s="35" t="str">
        <x:f>IF(B127="","",IF(I127&lt;&gt;"是","不通过",IF(O127&lt;&gt;"否","不通过",IF(H127="ANSWER",IF(AND(K127=2,L127=2,M127=2,N127=2),"通过","不通过"),IF(H127="CONFLICT",IF(AND(K127=2,L127=2,M127=2,N127=2,P127=2),"通过","不通过"),IF(H127="INSUFFICIENT_EVIDENCE","通过","待填写"))))))</x:f>
      </x:c>
      <x:c r="R127" s="34"/>
      <x:c r="S127" s="34"/>
      <x:c r="T127" s="34"/>
      <x:c r="U127" s="34"/>
      <x:c r="V127" s="34"/>
      <x:c r="W127" s="34"/>
      <x:c r="X127" s="34"/>
      <x:c r="Y127" s="34"/>
      <x:c r="Z127" s="34"/>
      <x:c r="AA127" s="34"/>
    </x:row>
    <x:row r="128" ht="34" customHeight="1">
      <x:c r="A128" s="34"/>
      <x:c r="B128" s="34"/>
      <x:c r="C128" s="34"/>
      <x:c r="D128" s="41"/>
      <x:c r="E128" s="34"/>
      <x:c r="F128" s="34"/>
      <x:c r="G128" s="34"/>
      <x:c r="H128" s="34"/>
      <x:c r="I128" s="35" t="str">
        <x:f>IF(B128="","",IF(COUNTIF('专家金标'!$A$5:$A$204,B128)=0,"未找到金标",IF(H128=INDEX('专家金标'!$J$5:$J$204,MATCH(B128,'专家金标'!$A$5:$A$204,0)),"是","否")))</x:f>
      </x:c>
      <x:c r="J128" s="34"/>
      <x:c r="K128" s="34"/>
      <x:c r="L128" s="34"/>
      <x:c r="M128" s="34"/>
      <x:c r="N128" s="34"/>
      <x:c r="O128" s="34"/>
      <x:c r="P128" s="34"/>
      <x:c r="Q128" s="35" t="str">
        <x:f>IF(B128="","",IF(I128&lt;&gt;"是","不通过",IF(O128&lt;&gt;"否","不通过",IF(H128="ANSWER",IF(AND(K128=2,L128=2,M128=2,N128=2),"通过","不通过"),IF(H128="CONFLICT",IF(AND(K128=2,L128=2,M128=2,N128=2,P128=2),"通过","不通过"),IF(H128="INSUFFICIENT_EVIDENCE","通过","待填写"))))))</x:f>
      </x:c>
      <x:c r="R128" s="34"/>
      <x:c r="S128" s="34"/>
      <x:c r="T128" s="34"/>
      <x:c r="U128" s="34"/>
      <x:c r="V128" s="34"/>
      <x:c r="W128" s="34"/>
      <x:c r="X128" s="34"/>
      <x:c r="Y128" s="34"/>
      <x:c r="Z128" s="34"/>
      <x:c r="AA128" s="34"/>
    </x:row>
    <x:row r="129" ht="34" customHeight="1">
      <x:c r="A129" s="34"/>
      <x:c r="B129" s="34"/>
      <x:c r="C129" s="34"/>
      <x:c r="D129" s="41"/>
      <x:c r="E129" s="34"/>
      <x:c r="F129" s="34"/>
      <x:c r="G129" s="34"/>
      <x:c r="H129" s="34"/>
      <x:c r="I129" s="35" t="str">
        <x:f>IF(B129="","",IF(COUNTIF('专家金标'!$A$5:$A$204,B129)=0,"未找到金标",IF(H129=INDEX('专家金标'!$J$5:$J$204,MATCH(B129,'专家金标'!$A$5:$A$204,0)),"是","否")))</x:f>
      </x:c>
      <x:c r="J129" s="34"/>
      <x:c r="K129" s="34"/>
      <x:c r="L129" s="34"/>
      <x:c r="M129" s="34"/>
      <x:c r="N129" s="34"/>
      <x:c r="O129" s="34"/>
      <x:c r="P129" s="34"/>
      <x:c r="Q129" s="35" t="str">
        <x:f>IF(B129="","",IF(I129&lt;&gt;"是","不通过",IF(O129&lt;&gt;"否","不通过",IF(H129="ANSWER",IF(AND(K129=2,L129=2,M129=2,N129=2),"通过","不通过"),IF(H129="CONFLICT",IF(AND(K129=2,L129=2,M129=2,N129=2,P129=2),"通过","不通过"),IF(H129="INSUFFICIENT_EVIDENCE","通过","待填写"))))))</x:f>
      </x:c>
      <x:c r="R129" s="34"/>
      <x:c r="S129" s="34"/>
      <x:c r="T129" s="34"/>
      <x:c r="U129" s="34"/>
      <x:c r="V129" s="34"/>
      <x:c r="W129" s="34"/>
      <x:c r="X129" s="34"/>
      <x:c r="Y129" s="34"/>
      <x:c r="Z129" s="34"/>
      <x:c r="AA129" s="34"/>
    </x:row>
    <x:row r="130" ht="34" customHeight="1">
      <x:c r="A130" s="34"/>
      <x:c r="B130" s="34"/>
      <x:c r="C130" s="34"/>
      <x:c r="D130" s="41"/>
      <x:c r="E130" s="34"/>
      <x:c r="F130" s="34"/>
      <x:c r="G130" s="34"/>
      <x:c r="H130" s="34"/>
      <x:c r="I130" s="35" t="str">
        <x:f>IF(B130="","",IF(COUNTIF('专家金标'!$A$5:$A$204,B130)=0,"未找到金标",IF(H130=INDEX('专家金标'!$J$5:$J$204,MATCH(B130,'专家金标'!$A$5:$A$204,0)),"是","否")))</x:f>
      </x:c>
      <x:c r="J130" s="34"/>
      <x:c r="K130" s="34"/>
      <x:c r="L130" s="34"/>
      <x:c r="M130" s="34"/>
      <x:c r="N130" s="34"/>
      <x:c r="O130" s="34"/>
      <x:c r="P130" s="34"/>
      <x:c r="Q130" s="35" t="str">
        <x:f>IF(B130="","",IF(I130&lt;&gt;"是","不通过",IF(O130&lt;&gt;"否","不通过",IF(H130="ANSWER",IF(AND(K130=2,L130=2,M130=2,N130=2),"通过","不通过"),IF(H130="CONFLICT",IF(AND(K130=2,L130=2,M130=2,N130=2,P130=2),"通过","不通过"),IF(H130="INSUFFICIENT_EVIDENCE","通过","待填写"))))))</x:f>
      </x:c>
      <x:c r="R130" s="34"/>
      <x:c r="S130" s="34"/>
      <x:c r="T130" s="34"/>
      <x:c r="U130" s="34"/>
      <x:c r="V130" s="34"/>
      <x:c r="W130" s="34"/>
      <x:c r="X130" s="34"/>
      <x:c r="Y130" s="34"/>
      <x:c r="Z130" s="34"/>
      <x:c r="AA130" s="34"/>
    </x:row>
    <x:row r="131" ht="34" customHeight="1">
      <x:c r="A131" s="34"/>
      <x:c r="B131" s="34"/>
      <x:c r="C131" s="34"/>
      <x:c r="D131" s="41"/>
      <x:c r="E131" s="34"/>
      <x:c r="F131" s="34"/>
      <x:c r="G131" s="34"/>
      <x:c r="H131" s="34"/>
      <x:c r="I131" s="35" t="str">
        <x:f>IF(B131="","",IF(COUNTIF('专家金标'!$A$5:$A$204,B131)=0,"未找到金标",IF(H131=INDEX('专家金标'!$J$5:$J$204,MATCH(B131,'专家金标'!$A$5:$A$204,0)),"是","否")))</x:f>
      </x:c>
      <x:c r="J131" s="34"/>
      <x:c r="K131" s="34"/>
      <x:c r="L131" s="34"/>
      <x:c r="M131" s="34"/>
      <x:c r="N131" s="34"/>
      <x:c r="O131" s="34"/>
      <x:c r="P131" s="34"/>
      <x:c r="Q131" s="35" t="str">
        <x:f>IF(B131="","",IF(I131&lt;&gt;"是","不通过",IF(O131&lt;&gt;"否","不通过",IF(H131="ANSWER",IF(AND(K131=2,L131=2,M131=2,N131=2),"通过","不通过"),IF(H131="CONFLICT",IF(AND(K131=2,L131=2,M131=2,N131=2,P131=2),"通过","不通过"),IF(H131="INSUFFICIENT_EVIDENCE","通过","待填写"))))))</x:f>
      </x:c>
      <x:c r="R131" s="34"/>
      <x:c r="S131" s="34"/>
      <x:c r="T131" s="34"/>
      <x:c r="U131" s="34"/>
      <x:c r="V131" s="34"/>
      <x:c r="W131" s="34"/>
      <x:c r="X131" s="34"/>
      <x:c r="Y131" s="34"/>
      <x:c r="Z131" s="34"/>
      <x:c r="AA131" s="34"/>
    </x:row>
    <x:row r="132" ht="34" customHeight="1">
      <x:c r="A132" s="34"/>
      <x:c r="B132" s="34"/>
      <x:c r="C132" s="34"/>
      <x:c r="D132" s="41"/>
      <x:c r="E132" s="34"/>
      <x:c r="F132" s="34"/>
      <x:c r="G132" s="34"/>
      <x:c r="H132" s="34"/>
      <x:c r="I132" s="35" t="str">
        <x:f>IF(B132="","",IF(COUNTIF('专家金标'!$A$5:$A$204,B132)=0,"未找到金标",IF(H132=INDEX('专家金标'!$J$5:$J$204,MATCH(B132,'专家金标'!$A$5:$A$204,0)),"是","否")))</x:f>
      </x:c>
      <x:c r="J132" s="34"/>
      <x:c r="K132" s="34"/>
      <x:c r="L132" s="34"/>
      <x:c r="M132" s="34"/>
      <x:c r="N132" s="34"/>
      <x:c r="O132" s="34"/>
      <x:c r="P132" s="34"/>
      <x:c r="Q132" s="35" t="str">
        <x:f>IF(B132="","",IF(I132&lt;&gt;"是","不通过",IF(O132&lt;&gt;"否","不通过",IF(H132="ANSWER",IF(AND(K132=2,L132=2,M132=2,N132=2),"通过","不通过"),IF(H132="CONFLICT",IF(AND(K132=2,L132=2,M132=2,N132=2,P132=2),"通过","不通过"),IF(H132="INSUFFICIENT_EVIDENCE","通过","待填写"))))))</x:f>
      </x:c>
      <x:c r="R132" s="34"/>
      <x:c r="S132" s="34"/>
      <x:c r="T132" s="34"/>
      <x:c r="U132" s="34"/>
      <x:c r="V132" s="34"/>
      <x:c r="W132" s="34"/>
      <x:c r="X132" s="34"/>
      <x:c r="Y132" s="34"/>
      <x:c r="Z132" s="34"/>
      <x:c r="AA132" s="34"/>
    </x:row>
    <x:row r="133" ht="34" customHeight="1">
      <x:c r="A133" s="34"/>
      <x:c r="B133" s="34"/>
      <x:c r="C133" s="34"/>
      <x:c r="D133" s="41"/>
      <x:c r="E133" s="34"/>
      <x:c r="F133" s="34"/>
      <x:c r="G133" s="34"/>
      <x:c r="H133" s="34"/>
      <x:c r="I133" s="35" t="str">
        <x:f>IF(B133="","",IF(COUNTIF('专家金标'!$A$5:$A$204,B133)=0,"未找到金标",IF(H133=INDEX('专家金标'!$J$5:$J$204,MATCH(B133,'专家金标'!$A$5:$A$204,0)),"是","否")))</x:f>
      </x:c>
      <x:c r="J133" s="34"/>
      <x:c r="K133" s="34"/>
      <x:c r="L133" s="34"/>
      <x:c r="M133" s="34"/>
      <x:c r="N133" s="34"/>
      <x:c r="O133" s="34"/>
      <x:c r="P133" s="34"/>
      <x:c r="Q133" s="35" t="str">
        <x:f>IF(B133="","",IF(I133&lt;&gt;"是","不通过",IF(O133&lt;&gt;"否","不通过",IF(H133="ANSWER",IF(AND(K133=2,L133=2,M133=2,N133=2),"通过","不通过"),IF(H133="CONFLICT",IF(AND(K133=2,L133=2,M133=2,N133=2,P133=2),"通过","不通过"),IF(H133="INSUFFICIENT_EVIDENCE","通过","待填写"))))))</x:f>
      </x:c>
      <x:c r="R133" s="34"/>
      <x:c r="S133" s="34"/>
      <x:c r="T133" s="34"/>
      <x:c r="U133" s="34"/>
      <x:c r="V133" s="34"/>
      <x:c r="W133" s="34"/>
      <x:c r="X133" s="34"/>
      <x:c r="Y133" s="34"/>
      <x:c r="Z133" s="34"/>
      <x:c r="AA133" s="34"/>
    </x:row>
    <x:row r="134" ht="34" customHeight="1">
      <x:c r="A134" s="34"/>
      <x:c r="B134" s="34"/>
      <x:c r="C134" s="34"/>
      <x:c r="D134" s="41"/>
      <x:c r="E134" s="34"/>
      <x:c r="F134" s="34"/>
      <x:c r="G134" s="34"/>
      <x:c r="H134" s="34"/>
      <x:c r="I134" s="35" t="str">
        <x:f>IF(B134="","",IF(COUNTIF('专家金标'!$A$5:$A$204,B134)=0,"未找到金标",IF(H134=INDEX('专家金标'!$J$5:$J$204,MATCH(B134,'专家金标'!$A$5:$A$204,0)),"是","否")))</x:f>
      </x:c>
      <x:c r="J134" s="34"/>
      <x:c r="K134" s="34"/>
      <x:c r="L134" s="34"/>
      <x:c r="M134" s="34"/>
      <x:c r="N134" s="34"/>
      <x:c r="O134" s="34"/>
      <x:c r="P134" s="34"/>
      <x:c r="Q134" s="35" t="str">
        <x:f>IF(B134="","",IF(I134&lt;&gt;"是","不通过",IF(O134&lt;&gt;"否","不通过",IF(H134="ANSWER",IF(AND(K134=2,L134=2,M134=2,N134=2),"通过","不通过"),IF(H134="CONFLICT",IF(AND(K134=2,L134=2,M134=2,N134=2,P134=2),"通过","不通过"),IF(H134="INSUFFICIENT_EVIDENCE","通过","待填写"))))))</x:f>
      </x:c>
      <x:c r="R134" s="34"/>
      <x:c r="S134" s="34"/>
      <x:c r="T134" s="34"/>
      <x:c r="U134" s="34"/>
      <x:c r="V134" s="34"/>
      <x:c r="W134" s="34"/>
      <x:c r="X134" s="34"/>
      <x:c r="Y134" s="34"/>
      <x:c r="Z134" s="34"/>
      <x:c r="AA134" s="34"/>
    </x:row>
    <x:row r="135" ht="34" customHeight="1">
      <x:c r="A135" s="34"/>
      <x:c r="B135" s="34"/>
      <x:c r="C135" s="34"/>
      <x:c r="D135" s="41"/>
      <x:c r="E135" s="34"/>
      <x:c r="F135" s="34"/>
      <x:c r="G135" s="34"/>
      <x:c r="H135" s="34"/>
      <x:c r="I135" s="35" t="str">
        <x:f>IF(B135="","",IF(COUNTIF('专家金标'!$A$5:$A$204,B135)=0,"未找到金标",IF(H135=INDEX('专家金标'!$J$5:$J$204,MATCH(B135,'专家金标'!$A$5:$A$204,0)),"是","否")))</x:f>
      </x:c>
      <x:c r="J135" s="34"/>
      <x:c r="K135" s="34"/>
      <x:c r="L135" s="34"/>
      <x:c r="M135" s="34"/>
      <x:c r="N135" s="34"/>
      <x:c r="O135" s="34"/>
      <x:c r="P135" s="34"/>
      <x:c r="Q135" s="35" t="str">
        <x:f>IF(B135="","",IF(I135&lt;&gt;"是","不通过",IF(O135&lt;&gt;"否","不通过",IF(H135="ANSWER",IF(AND(K135=2,L135=2,M135=2,N135=2),"通过","不通过"),IF(H135="CONFLICT",IF(AND(K135=2,L135=2,M135=2,N135=2,P135=2),"通过","不通过"),IF(H135="INSUFFICIENT_EVIDENCE","通过","待填写"))))))</x:f>
      </x:c>
      <x:c r="R135" s="34"/>
      <x:c r="S135" s="34"/>
      <x:c r="T135" s="34"/>
      <x:c r="U135" s="34"/>
      <x:c r="V135" s="34"/>
      <x:c r="W135" s="34"/>
      <x:c r="X135" s="34"/>
      <x:c r="Y135" s="34"/>
      <x:c r="Z135" s="34"/>
      <x:c r="AA135" s="34"/>
    </x:row>
    <x:row r="136" ht="34" customHeight="1">
      <x:c r="A136" s="34"/>
      <x:c r="B136" s="34"/>
      <x:c r="C136" s="34"/>
      <x:c r="D136" s="41"/>
      <x:c r="E136" s="34"/>
      <x:c r="F136" s="34"/>
      <x:c r="G136" s="34"/>
      <x:c r="H136" s="34"/>
      <x:c r="I136" s="35" t="str">
        <x:f>IF(B136="","",IF(COUNTIF('专家金标'!$A$5:$A$204,B136)=0,"未找到金标",IF(H136=INDEX('专家金标'!$J$5:$J$204,MATCH(B136,'专家金标'!$A$5:$A$204,0)),"是","否")))</x:f>
      </x:c>
      <x:c r="J136" s="34"/>
      <x:c r="K136" s="34"/>
      <x:c r="L136" s="34"/>
      <x:c r="M136" s="34"/>
      <x:c r="N136" s="34"/>
      <x:c r="O136" s="34"/>
      <x:c r="P136" s="34"/>
      <x:c r="Q136" s="35" t="str">
        <x:f>IF(B136="","",IF(I136&lt;&gt;"是","不通过",IF(O136&lt;&gt;"否","不通过",IF(H136="ANSWER",IF(AND(K136=2,L136=2,M136=2,N136=2),"通过","不通过"),IF(H136="CONFLICT",IF(AND(K136=2,L136=2,M136=2,N136=2,P136=2),"通过","不通过"),IF(H136="INSUFFICIENT_EVIDENCE","通过","待填写"))))))</x:f>
      </x:c>
      <x:c r="R136" s="34"/>
      <x:c r="S136" s="34"/>
      <x:c r="T136" s="34"/>
      <x:c r="U136" s="34"/>
      <x:c r="V136" s="34"/>
      <x:c r="W136" s="34"/>
      <x:c r="X136" s="34"/>
      <x:c r="Y136" s="34"/>
      <x:c r="Z136" s="34"/>
      <x:c r="AA136" s="34"/>
    </x:row>
    <x:row r="137" ht="34" customHeight="1">
      <x:c r="A137" s="34"/>
      <x:c r="B137" s="34"/>
      <x:c r="C137" s="34"/>
      <x:c r="D137" s="41"/>
      <x:c r="E137" s="34"/>
      <x:c r="F137" s="34"/>
      <x:c r="G137" s="34"/>
      <x:c r="H137" s="34"/>
      <x:c r="I137" s="35" t="str">
        <x:f>IF(B137="","",IF(COUNTIF('专家金标'!$A$5:$A$204,B137)=0,"未找到金标",IF(H137=INDEX('专家金标'!$J$5:$J$204,MATCH(B137,'专家金标'!$A$5:$A$204,0)),"是","否")))</x:f>
      </x:c>
      <x:c r="J137" s="34"/>
      <x:c r="K137" s="34"/>
      <x:c r="L137" s="34"/>
      <x:c r="M137" s="34"/>
      <x:c r="N137" s="34"/>
      <x:c r="O137" s="34"/>
      <x:c r="P137" s="34"/>
      <x:c r="Q137" s="35" t="str">
        <x:f>IF(B137="","",IF(I137&lt;&gt;"是","不通过",IF(O137&lt;&gt;"否","不通过",IF(H137="ANSWER",IF(AND(K137=2,L137=2,M137=2,N137=2),"通过","不通过"),IF(H137="CONFLICT",IF(AND(K137=2,L137=2,M137=2,N137=2,P137=2),"通过","不通过"),IF(H137="INSUFFICIENT_EVIDENCE","通过","待填写"))))))</x:f>
      </x:c>
      <x:c r="R137" s="34"/>
      <x:c r="S137" s="34"/>
      <x:c r="T137" s="34"/>
      <x:c r="U137" s="34"/>
      <x:c r="V137" s="34"/>
      <x:c r="W137" s="34"/>
      <x:c r="X137" s="34"/>
      <x:c r="Y137" s="34"/>
      <x:c r="Z137" s="34"/>
      <x:c r="AA137" s="34"/>
    </x:row>
    <x:row r="138" ht="34" customHeight="1">
      <x:c r="A138" s="34"/>
      <x:c r="B138" s="34"/>
      <x:c r="C138" s="34"/>
      <x:c r="D138" s="41"/>
      <x:c r="E138" s="34"/>
      <x:c r="F138" s="34"/>
      <x:c r="G138" s="34"/>
      <x:c r="H138" s="34"/>
      <x:c r="I138" s="35" t="str">
        <x:f>IF(B138="","",IF(COUNTIF('专家金标'!$A$5:$A$204,B138)=0,"未找到金标",IF(H138=INDEX('专家金标'!$J$5:$J$204,MATCH(B138,'专家金标'!$A$5:$A$204,0)),"是","否")))</x:f>
      </x:c>
      <x:c r="J138" s="34"/>
      <x:c r="K138" s="34"/>
      <x:c r="L138" s="34"/>
      <x:c r="M138" s="34"/>
      <x:c r="N138" s="34"/>
      <x:c r="O138" s="34"/>
      <x:c r="P138" s="34"/>
      <x:c r="Q138" s="35" t="str">
        <x:f>IF(B138="","",IF(I138&lt;&gt;"是","不通过",IF(O138&lt;&gt;"否","不通过",IF(H138="ANSWER",IF(AND(K138=2,L138=2,M138=2,N138=2),"通过","不通过"),IF(H138="CONFLICT",IF(AND(K138=2,L138=2,M138=2,N138=2,P138=2),"通过","不通过"),IF(H138="INSUFFICIENT_EVIDENCE","通过","待填写"))))))</x:f>
      </x:c>
      <x:c r="R138" s="34"/>
      <x:c r="S138" s="34"/>
      <x:c r="T138" s="34"/>
      <x:c r="U138" s="34"/>
      <x:c r="V138" s="34"/>
      <x:c r="W138" s="34"/>
      <x:c r="X138" s="34"/>
      <x:c r="Y138" s="34"/>
      <x:c r="Z138" s="34"/>
      <x:c r="AA138" s="34"/>
    </x:row>
    <x:row r="139" ht="34" customHeight="1">
      <x:c r="A139" s="34"/>
      <x:c r="B139" s="34"/>
      <x:c r="C139" s="34"/>
      <x:c r="D139" s="41"/>
      <x:c r="E139" s="34"/>
      <x:c r="F139" s="34"/>
      <x:c r="G139" s="34"/>
      <x:c r="H139" s="34"/>
      <x:c r="I139" s="35" t="str">
        <x:f>IF(B139="","",IF(COUNTIF('专家金标'!$A$5:$A$204,B139)=0,"未找到金标",IF(H139=INDEX('专家金标'!$J$5:$J$204,MATCH(B139,'专家金标'!$A$5:$A$204,0)),"是","否")))</x:f>
      </x:c>
      <x:c r="J139" s="34"/>
      <x:c r="K139" s="34"/>
      <x:c r="L139" s="34"/>
      <x:c r="M139" s="34"/>
      <x:c r="N139" s="34"/>
      <x:c r="O139" s="34"/>
      <x:c r="P139" s="34"/>
      <x:c r="Q139" s="35" t="str">
        <x:f>IF(B139="","",IF(I139&lt;&gt;"是","不通过",IF(O139&lt;&gt;"否","不通过",IF(H139="ANSWER",IF(AND(K139=2,L139=2,M139=2,N139=2),"通过","不通过"),IF(H139="CONFLICT",IF(AND(K139=2,L139=2,M139=2,N139=2,P139=2),"通过","不通过"),IF(H139="INSUFFICIENT_EVIDENCE","通过","待填写"))))))</x:f>
      </x:c>
      <x:c r="R139" s="34"/>
      <x:c r="S139" s="34"/>
      <x:c r="T139" s="34"/>
      <x:c r="U139" s="34"/>
      <x:c r="V139" s="34"/>
      <x:c r="W139" s="34"/>
      <x:c r="X139" s="34"/>
      <x:c r="Y139" s="34"/>
      <x:c r="Z139" s="34"/>
      <x:c r="AA139" s="34"/>
    </x:row>
    <x:row r="140" ht="34" customHeight="1">
      <x:c r="A140" s="34"/>
      <x:c r="B140" s="34"/>
      <x:c r="C140" s="34"/>
      <x:c r="D140" s="41"/>
      <x:c r="E140" s="34"/>
      <x:c r="F140" s="34"/>
      <x:c r="G140" s="34"/>
      <x:c r="H140" s="34"/>
      <x:c r="I140" s="35" t="str">
        <x:f>IF(B140="","",IF(COUNTIF('专家金标'!$A$5:$A$204,B140)=0,"未找到金标",IF(H140=INDEX('专家金标'!$J$5:$J$204,MATCH(B140,'专家金标'!$A$5:$A$204,0)),"是","否")))</x:f>
      </x:c>
      <x:c r="J140" s="34"/>
      <x:c r="K140" s="34"/>
      <x:c r="L140" s="34"/>
      <x:c r="M140" s="34"/>
      <x:c r="N140" s="34"/>
      <x:c r="O140" s="34"/>
      <x:c r="P140" s="34"/>
      <x:c r="Q140" s="35" t="str">
        <x:f>IF(B140="","",IF(I140&lt;&gt;"是","不通过",IF(O140&lt;&gt;"否","不通过",IF(H140="ANSWER",IF(AND(K140=2,L140=2,M140=2,N140=2),"通过","不通过"),IF(H140="CONFLICT",IF(AND(K140=2,L140=2,M140=2,N140=2,P140=2),"通过","不通过"),IF(H140="INSUFFICIENT_EVIDENCE","通过","待填写"))))))</x:f>
      </x:c>
      <x:c r="R140" s="34"/>
      <x:c r="S140" s="34"/>
      <x:c r="T140" s="34"/>
      <x:c r="U140" s="34"/>
      <x:c r="V140" s="34"/>
      <x:c r="W140" s="34"/>
      <x:c r="X140" s="34"/>
      <x:c r="Y140" s="34"/>
      <x:c r="Z140" s="34"/>
      <x:c r="AA140" s="34"/>
    </x:row>
    <x:row r="141" ht="34" customHeight="1">
      <x:c r="A141" s="34"/>
      <x:c r="B141" s="34"/>
      <x:c r="C141" s="34"/>
      <x:c r="D141" s="41"/>
      <x:c r="E141" s="34"/>
      <x:c r="F141" s="34"/>
      <x:c r="G141" s="34"/>
      <x:c r="H141" s="34"/>
      <x:c r="I141" s="35" t="str">
        <x:f>IF(B141="","",IF(COUNTIF('专家金标'!$A$5:$A$204,B141)=0,"未找到金标",IF(H141=INDEX('专家金标'!$J$5:$J$204,MATCH(B141,'专家金标'!$A$5:$A$204,0)),"是","否")))</x:f>
      </x:c>
      <x:c r="J141" s="34"/>
      <x:c r="K141" s="34"/>
      <x:c r="L141" s="34"/>
      <x:c r="M141" s="34"/>
      <x:c r="N141" s="34"/>
      <x:c r="O141" s="34"/>
      <x:c r="P141" s="34"/>
      <x:c r="Q141" s="35" t="str">
        <x:f>IF(B141="","",IF(I141&lt;&gt;"是","不通过",IF(O141&lt;&gt;"否","不通过",IF(H141="ANSWER",IF(AND(K141=2,L141=2,M141=2,N141=2),"通过","不通过"),IF(H141="CONFLICT",IF(AND(K141=2,L141=2,M141=2,N141=2,P141=2),"通过","不通过"),IF(H141="INSUFFICIENT_EVIDENCE","通过","待填写"))))))</x:f>
      </x:c>
      <x:c r="R141" s="34"/>
      <x:c r="S141" s="34"/>
      <x:c r="T141" s="34"/>
      <x:c r="U141" s="34"/>
      <x:c r="V141" s="34"/>
      <x:c r="W141" s="34"/>
      <x:c r="X141" s="34"/>
      <x:c r="Y141" s="34"/>
      <x:c r="Z141" s="34"/>
      <x:c r="AA141" s="34"/>
    </x:row>
    <x:row r="142" ht="34" customHeight="1">
      <x:c r="A142" s="34"/>
      <x:c r="B142" s="34"/>
      <x:c r="C142" s="34"/>
      <x:c r="D142" s="41"/>
      <x:c r="E142" s="34"/>
      <x:c r="F142" s="34"/>
      <x:c r="G142" s="34"/>
      <x:c r="H142" s="34"/>
      <x:c r="I142" s="35" t="str">
        <x:f>IF(B142="","",IF(COUNTIF('专家金标'!$A$5:$A$204,B142)=0,"未找到金标",IF(H142=INDEX('专家金标'!$J$5:$J$204,MATCH(B142,'专家金标'!$A$5:$A$204,0)),"是","否")))</x:f>
      </x:c>
      <x:c r="J142" s="34"/>
      <x:c r="K142" s="34"/>
      <x:c r="L142" s="34"/>
      <x:c r="M142" s="34"/>
      <x:c r="N142" s="34"/>
      <x:c r="O142" s="34"/>
      <x:c r="P142" s="34"/>
      <x:c r="Q142" s="35" t="str">
        <x:f>IF(B142="","",IF(I142&lt;&gt;"是","不通过",IF(O142&lt;&gt;"否","不通过",IF(H142="ANSWER",IF(AND(K142=2,L142=2,M142=2,N142=2),"通过","不通过"),IF(H142="CONFLICT",IF(AND(K142=2,L142=2,M142=2,N142=2,P142=2),"通过","不通过"),IF(H142="INSUFFICIENT_EVIDENCE","通过","待填写"))))))</x:f>
      </x:c>
      <x:c r="R142" s="34"/>
      <x:c r="S142" s="34"/>
      <x:c r="T142" s="34"/>
      <x:c r="U142" s="34"/>
      <x:c r="V142" s="34"/>
      <x:c r="W142" s="34"/>
      <x:c r="X142" s="34"/>
      <x:c r="Y142" s="34"/>
      <x:c r="Z142" s="34"/>
      <x:c r="AA142" s="34"/>
    </x:row>
    <x:row r="143" ht="34" customHeight="1">
      <x:c r="A143" s="34"/>
      <x:c r="B143" s="34"/>
      <x:c r="C143" s="34"/>
      <x:c r="D143" s="41"/>
      <x:c r="E143" s="34"/>
      <x:c r="F143" s="34"/>
      <x:c r="G143" s="34"/>
      <x:c r="H143" s="34"/>
      <x:c r="I143" s="35" t="str">
        <x:f>IF(B143="","",IF(COUNTIF('专家金标'!$A$5:$A$204,B143)=0,"未找到金标",IF(H143=INDEX('专家金标'!$J$5:$J$204,MATCH(B143,'专家金标'!$A$5:$A$204,0)),"是","否")))</x:f>
      </x:c>
      <x:c r="J143" s="34"/>
      <x:c r="K143" s="34"/>
      <x:c r="L143" s="34"/>
      <x:c r="M143" s="34"/>
      <x:c r="N143" s="34"/>
      <x:c r="O143" s="34"/>
      <x:c r="P143" s="34"/>
      <x:c r="Q143" s="35" t="str">
        <x:f>IF(B143="","",IF(I143&lt;&gt;"是","不通过",IF(O143&lt;&gt;"否","不通过",IF(H143="ANSWER",IF(AND(K143=2,L143=2,M143=2,N143=2),"通过","不通过"),IF(H143="CONFLICT",IF(AND(K143=2,L143=2,M143=2,N143=2,P143=2),"通过","不通过"),IF(H143="INSUFFICIENT_EVIDENCE","通过","待填写"))))))</x:f>
      </x:c>
      <x:c r="R143" s="34"/>
      <x:c r="S143" s="34"/>
      <x:c r="T143" s="34"/>
      <x:c r="U143" s="34"/>
      <x:c r="V143" s="34"/>
      <x:c r="W143" s="34"/>
      <x:c r="X143" s="34"/>
      <x:c r="Y143" s="34"/>
      <x:c r="Z143" s="34"/>
      <x:c r="AA143" s="34"/>
    </x:row>
    <x:row r="144" ht="34" customHeight="1">
      <x:c r="A144" s="34"/>
      <x:c r="B144" s="34"/>
      <x:c r="C144" s="34"/>
      <x:c r="D144" s="41"/>
      <x:c r="E144" s="34"/>
      <x:c r="F144" s="34"/>
      <x:c r="G144" s="34"/>
      <x:c r="H144" s="34"/>
      <x:c r="I144" s="35" t="str">
        <x:f>IF(B144="","",IF(COUNTIF('专家金标'!$A$5:$A$204,B144)=0,"未找到金标",IF(H144=INDEX('专家金标'!$J$5:$J$204,MATCH(B144,'专家金标'!$A$5:$A$204,0)),"是","否")))</x:f>
      </x:c>
      <x:c r="J144" s="34"/>
      <x:c r="K144" s="34"/>
      <x:c r="L144" s="34"/>
      <x:c r="M144" s="34"/>
      <x:c r="N144" s="34"/>
      <x:c r="O144" s="34"/>
      <x:c r="P144" s="34"/>
      <x:c r="Q144" s="35" t="str">
        <x:f>IF(B144="","",IF(I144&lt;&gt;"是","不通过",IF(O144&lt;&gt;"否","不通过",IF(H144="ANSWER",IF(AND(K144=2,L144=2,M144=2,N144=2),"通过","不通过"),IF(H144="CONFLICT",IF(AND(K144=2,L144=2,M144=2,N144=2,P144=2),"通过","不通过"),IF(H144="INSUFFICIENT_EVIDENCE","通过","待填写"))))))</x:f>
      </x:c>
      <x:c r="R144" s="34"/>
      <x:c r="S144" s="34"/>
      <x:c r="T144" s="34"/>
      <x:c r="U144" s="34"/>
      <x:c r="V144" s="34"/>
      <x:c r="W144" s="34"/>
      <x:c r="X144" s="34"/>
      <x:c r="Y144" s="34"/>
      <x:c r="Z144" s="34"/>
      <x:c r="AA144" s="34"/>
    </x:row>
    <x:row r="145" ht="34" customHeight="1">
      <x:c r="A145" s="34"/>
      <x:c r="B145" s="34"/>
      <x:c r="C145" s="34"/>
      <x:c r="D145" s="41"/>
      <x:c r="E145" s="34"/>
      <x:c r="F145" s="34"/>
      <x:c r="G145" s="34"/>
      <x:c r="H145" s="34"/>
      <x:c r="I145" s="35" t="str">
        <x:f>IF(B145="","",IF(COUNTIF('专家金标'!$A$5:$A$204,B145)=0,"未找到金标",IF(H145=INDEX('专家金标'!$J$5:$J$204,MATCH(B145,'专家金标'!$A$5:$A$204,0)),"是","否")))</x:f>
      </x:c>
      <x:c r="J145" s="34"/>
      <x:c r="K145" s="34"/>
      <x:c r="L145" s="34"/>
      <x:c r="M145" s="34"/>
      <x:c r="N145" s="34"/>
      <x:c r="O145" s="34"/>
      <x:c r="P145" s="34"/>
      <x:c r="Q145" s="35" t="str">
        <x:f>IF(B145="","",IF(I145&lt;&gt;"是","不通过",IF(O145&lt;&gt;"否","不通过",IF(H145="ANSWER",IF(AND(K145=2,L145=2,M145=2,N145=2),"通过","不通过"),IF(H145="CONFLICT",IF(AND(K145=2,L145=2,M145=2,N145=2,P145=2),"通过","不通过"),IF(H145="INSUFFICIENT_EVIDENCE","通过","待填写"))))))</x:f>
      </x:c>
      <x:c r="R145" s="34"/>
      <x:c r="S145" s="34"/>
      <x:c r="T145" s="34"/>
      <x:c r="U145" s="34"/>
      <x:c r="V145" s="34"/>
      <x:c r="W145" s="34"/>
      <x:c r="X145" s="34"/>
      <x:c r="Y145" s="34"/>
      <x:c r="Z145" s="34"/>
      <x:c r="AA145" s="34"/>
    </x:row>
    <x:row r="146" ht="34" customHeight="1">
      <x:c r="A146" s="34"/>
      <x:c r="B146" s="34"/>
      <x:c r="C146" s="34"/>
      <x:c r="D146" s="41"/>
      <x:c r="E146" s="34"/>
      <x:c r="F146" s="34"/>
      <x:c r="G146" s="34"/>
      <x:c r="H146" s="34"/>
      <x:c r="I146" s="35" t="str">
        <x:f>IF(B146="","",IF(COUNTIF('专家金标'!$A$5:$A$204,B146)=0,"未找到金标",IF(H146=INDEX('专家金标'!$J$5:$J$204,MATCH(B146,'专家金标'!$A$5:$A$204,0)),"是","否")))</x:f>
      </x:c>
      <x:c r="J146" s="34"/>
      <x:c r="K146" s="34"/>
      <x:c r="L146" s="34"/>
      <x:c r="M146" s="34"/>
      <x:c r="N146" s="34"/>
      <x:c r="O146" s="34"/>
      <x:c r="P146" s="34"/>
      <x:c r="Q146" s="35" t="str">
        <x:f>IF(B146="","",IF(I146&lt;&gt;"是","不通过",IF(O146&lt;&gt;"否","不通过",IF(H146="ANSWER",IF(AND(K146=2,L146=2,M146=2,N146=2),"通过","不通过"),IF(H146="CONFLICT",IF(AND(K146=2,L146=2,M146=2,N146=2,P146=2),"通过","不通过"),IF(H146="INSUFFICIENT_EVIDENCE","通过","待填写"))))))</x:f>
      </x:c>
      <x:c r="R146" s="34"/>
      <x:c r="S146" s="34"/>
      <x:c r="T146" s="34"/>
      <x:c r="U146" s="34"/>
      <x:c r="V146" s="34"/>
      <x:c r="W146" s="34"/>
      <x:c r="X146" s="34"/>
      <x:c r="Y146" s="34"/>
      <x:c r="Z146" s="34"/>
      <x:c r="AA146" s="34"/>
    </x:row>
    <x:row r="147" ht="34" customHeight="1">
      <x:c r="A147" s="34"/>
      <x:c r="B147" s="34"/>
      <x:c r="C147" s="34"/>
      <x:c r="D147" s="41"/>
      <x:c r="E147" s="34"/>
      <x:c r="F147" s="34"/>
      <x:c r="G147" s="34"/>
      <x:c r="H147" s="34"/>
      <x:c r="I147" s="35" t="str">
        <x:f>IF(B147="","",IF(COUNTIF('专家金标'!$A$5:$A$204,B147)=0,"未找到金标",IF(H147=INDEX('专家金标'!$J$5:$J$204,MATCH(B147,'专家金标'!$A$5:$A$204,0)),"是","否")))</x:f>
      </x:c>
      <x:c r="J147" s="34"/>
      <x:c r="K147" s="34"/>
      <x:c r="L147" s="34"/>
      <x:c r="M147" s="34"/>
      <x:c r="N147" s="34"/>
      <x:c r="O147" s="34"/>
      <x:c r="P147" s="34"/>
      <x:c r="Q147" s="35" t="str">
        <x:f>IF(B147="","",IF(I147&lt;&gt;"是","不通过",IF(O147&lt;&gt;"否","不通过",IF(H147="ANSWER",IF(AND(K147=2,L147=2,M147=2,N147=2),"通过","不通过"),IF(H147="CONFLICT",IF(AND(K147=2,L147=2,M147=2,N147=2,P147=2),"通过","不通过"),IF(H147="INSUFFICIENT_EVIDENCE","通过","待填写"))))))</x:f>
      </x:c>
      <x:c r="R147" s="34"/>
      <x:c r="S147" s="34"/>
      <x:c r="T147" s="34"/>
      <x:c r="U147" s="34"/>
      <x:c r="V147" s="34"/>
      <x:c r="W147" s="34"/>
      <x:c r="X147" s="34"/>
      <x:c r="Y147" s="34"/>
      <x:c r="Z147" s="34"/>
      <x:c r="AA147" s="34"/>
    </x:row>
    <x:row r="148" ht="34" customHeight="1">
      <x:c r="A148" s="34"/>
      <x:c r="B148" s="34"/>
      <x:c r="C148" s="34"/>
      <x:c r="D148" s="41"/>
      <x:c r="E148" s="34"/>
      <x:c r="F148" s="34"/>
      <x:c r="G148" s="34"/>
      <x:c r="H148" s="34"/>
      <x:c r="I148" s="35" t="str">
        <x:f>IF(B148="","",IF(COUNTIF('专家金标'!$A$5:$A$204,B148)=0,"未找到金标",IF(H148=INDEX('专家金标'!$J$5:$J$204,MATCH(B148,'专家金标'!$A$5:$A$204,0)),"是","否")))</x:f>
      </x:c>
      <x:c r="J148" s="34"/>
      <x:c r="K148" s="34"/>
      <x:c r="L148" s="34"/>
      <x:c r="M148" s="34"/>
      <x:c r="N148" s="34"/>
      <x:c r="O148" s="34"/>
      <x:c r="P148" s="34"/>
      <x:c r="Q148" s="35" t="str">
        <x:f>IF(B148="","",IF(I148&lt;&gt;"是","不通过",IF(O148&lt;&gt;"否","不通过",IF(H148="ANSWER",IF(AND(K148=2,L148=2,M148=2,N148=2),"通过","不通过"),IF(H148="CONFLICT",IF(AND(K148=2,L148=2,M148=2,N148=2,P148=2),"通过","不通过"),IF(H148="INSUFFICIENT_EVIDENCE","通过","待填写"))))))</x:f>
      </x:c>
      <x:c r="R148" s="34"/>
      <x:c r="S148" s="34"/>
      <x:c r="T148" s="34"/>
      <x:c r="U148" s="34"/>
      <x:c r="V148" s="34"/>
      <x:c r="W148" s="34"/>
      <x:c r="X148" s="34"/>
      <x:c r="Y148" s="34"/>
      <x:c r="Z148" s="34"/>
      <x:c r="AA148" s="34"/>
    </x:row>
    <x:row r="149" ht="34" customHeight="1">
      <x:c r="A149" s="34"/>
      <x:c r="B149" s="34"/>
      <x:c r="C149" s="34"/>
      <x:c r="D149" s="41"/>
      <x:c r="E149" s="34"/>
      <x:c r="F149" s="34"/>
      <x:c r="G149" s="34"/>
      <x:c r="H149" s="34"/>
      <x:c r="I149" s="35" t="str">
        <x:f>IF(B149="","",IF(COUNTIF('专家金标'!$A$5:$A$204,B149)=0,"未找到金标",IF(H149=INDEX('专家金标'!$J$5:$J$204,MATCH(B149,'专家金标'!$A$5:$A$204,0)),"是","否")))</x:f>
      </x:c>
      <x:c r="J149" s="34"/>
      <x:c r="K149" s="34"/>
      <x:c r="L149" s="34"/>
      <x:c r="M149" s="34"/>
      <x:c r="N149" s="34"/>
      <x:c r="O149" s="34"/>
      <x:c r="P149" s="34"/>
      <x:c r="Q149" s="35" t="str">
        <x:f>IF(B149="","",IF(I149&lt;&gt;"是","不通过",IF(O149&lt;&gt;"否","不通过",IF(H149="ANSWER",IF(AND(K149=2,L149=2,M149=2,N149=2),"通过","不通过"),IF(H149="CONFLICT",IF(AND(K149=2,L149=2,M149=2,N149=2,P149=2),"通过","不通过"),IF(H149="INSUFFICIENT_EVIDENCE","通过","待填写"))))))</x:f>
      </x:c>
      <x:c r="R149" s="34"/>
      <x:c r="S149" s="34"/>
      <x:c r="T149" s="34"/>
      <x:c r="U149" s="34"/>
      <x:c r="V149" s="34"/>
      <x:c r="W149" s="34"/>
      <x:c r="X149" s="34"/>
      <x:c r="Y149" s="34"/>
      <x:c r="Z149" s="34"/>
      <x:c r="AA149" s="34"/>
    </x:row>
    <x:row r="150" ht="34" customHeight="1">
      <x:c r="A150" s="34"/>
      <x:c r="B150" s="34"/>
      <x:c r="C150" s="34"/>
      <x:c r="D150" s="41"/>
      <x:c r="E150" s="34"/>
      <x:c r="F150" s="34"/>
      <x:c r="G150" s="34"/>
      <x:c r="H150" s="34"/>
      <x:c r="I150" s="35" t="str">
        <x:f>IF(B150="","",IF(COUNTIF('专家金标'!$A$5:$A$204,B150)=0,"未找到金标",IF(H150=INDEX('专家金标'!$J$5:$J$204,MATCH(B150,'专家金标'!$A$5:$A$204,0)),"是","否")))</x:f>
      </x:c>
      <x:c r="J150" s="34"/>
      <x:c r="K150" s="34"/>
      <x:c r="L150" s="34"/>
      <x:c r="M150" s="34"/>
      <x:c r="N150" s="34"/>
      <x:c r="O150" s="34"/>
      <x:c r="P150" s="34"/>
      <x:c r="Q150" s="35" t="str">
        <x:f>IF(B150="","",IF(I150&lt;&gt;"是","不通过",IF(O150&lt;&gt;"否","不通过",IF(H150="ANSWER",IF(AND(K150=2,L150=2,M150=2,N150=2),"通过","不通过"),IF(H150="CONFLICT",IF(AND(K150=2,L150=2,M150=2,N150=2,P150=2),"通过","不通过"),IF(H150="INSUFFICIENT_EVIDENCE","通过","待填写"))))))</x:f>
      </x:c>
      <x:c r="R150" s="34"/>
      <x:c r="S150" s="34"/>
      <x:c r="T150" s="34"/>
      <x:c r="U150" s="34"/>
      <x:c r="V150" s="34"/>
      <x:c r="W150" s="34"/>
      <x:c r="X150" s="34"/>
      <x:c r="Y150" s="34"/>
      <x:c r="Z150" s="34"/>
      <x:c r="AA150" s="34"/>
    </x:row>
    <x:row r="151" ht="34" customHeight="1">
      <x:c r="A151" s="34"/>
      <x:c r="B151" s="34"/>
      <x:c r="C151" s="34"/>
      <x:c r="D151" s="41"/>
      <x:c r="E151" s="34"/>
      <x:c r="F151" s="34"/>
      <x:c r="G151" s="34"/>
      <x:c r="H151" s="34"/>
      <x:c r="I151" s="35" t="str">
        <x:f>IF(B151="","",IF(COUNTIF('专家金标'!$A$5:$A$204,B151)=0,"未找到金标",IF(H151=INDEX('专家金标'!$J$5:$J$204,MATCH(B151,'专家金标'!$A$5:$A$204,0)),"是","否")))</x:f>
      </x:c>
      <x:c r="J151" s="34"/>
      <x:c r="K151" s="34"/>
      <x:c r="L151" s="34"/>
      <x:c r="M151" s="34"/>
      <x:c r="N151" s="34"/>
      <x:c r="O151" s="34"/>
      <x:c r="P151" s="34"/>
      <x:c r="Q151" s="35" t="str">
        <x:f>IF(B151="","",IF(I151&lt;&gt;"是","不通过",IF(O151&lt;&gt;"否","不通过",IF(H151="ANSWER",IF(AND(K151=2,L151=2,M151=2,N151=2),"通过","不通过"),IF(H151="CONFLICT",IF(AND(K151=2,L151=2,M151=2,N151=2,P151=2),"通过","不通过"),IF(H151="INSUFFICIENT_EVIDENCE","通过","待填写"))))))</x:f>
      </x:c>
      <x:c r="R151" s="34"/>
      <x:c r="S151" s="34"/>
      <x:c r="T151" s="34"/>
      <x:c r="U151" s="34"/>
      <x:c r="V151" s="34"/>
      <x:c r="W151" s="34"/>
      <x:c r="X151" s="34"/>
      <x:c r="Y151" s="34"/>
      <x:c r="Z151" s="34"/>
      <x:c r="AA151" s="34"/>
    </x:row>
    <x:row r="152" ht="34" customHeight="1">
      <x:c r="A152" s="34"/>
      <x:c r="B152" s="34"/>
      <x:c r="C152" s="34"/>
      <x:c r="D152" s="41"/>
      <x:c r="E152" s="34"/>
      <x:c r="F152" s="34"/>
      <x:c r="G152" s="34"/>
      <x:c r="H152" s="34"/>
      <x:c r="I152" s="35" t="str">
        <x:f>IF(B152="","",IF(COUNTIF('专家金标'!$A$5:$A$204,B152)=0,"未找到金标",IF(H152=INDEX('专家金标'!$J$5:$J$204,MATCH(B152,'专家金标'!$A$5:$A$204,0)),"是","否")))</x:f>
      </x:c>
      <x:c r="J152" s="34"/>
      <x:c r="K152" s="34"/>
      <x:c r="L152" s="34"/>
      <x:c r="M152" s="34"/>
      <x:c r="N152" s="34"/>
      <x:c r="O152" s="34"/>
      <x:c r="P152" s="34"/>
      <x:c r="Q152" s="35" t="str">
        <x:f>IF(B152="","",IF(I152&lt;&gt;"是","不通过",IF(O152&lt;&gt;"否","不通过",IF(H152="ANSWER",IF(AND(K152=2,L152=2,M152=2,N152=2),"通过","不通过"),IF(H152="CONFLICT",IF(AND(K152=2,L152=2,M152=2,N152=2,P152=2),"通过","不通过"),IF(H152="INSUFFICIENT_EVIDENCE","通过","待填写"))))))</x:f>
      </x:c>
      <x:c r="R152" s="34"/>
      <x:c r="S152" s="34"/>
      <x:c r="T152" s="34"/>
      <x:c r="U152" s="34"/>
      <x:c r="V152" s="34"/>
      <x:c r="W152" s="34"/>
      <x:c r="X152" s="34"/>
      <x:c r="Y152" s="34"/>
      <x:c r="Z152" s="34"/>
      <x:c r="AA152" s="34"/>
    </x:row>
    <x:row r="153" ht="34" customHeight="1">
      <x:c r="A153" s="34"/>
      <x:c r="B153" s="34"/>
      <x:c r="C153" s="34"/>
      <x:c r="D153" s="41"/>
      <x:c r="E153" s="34"/>
      <x:c r="F153" s="34"/>
      <x:c r="G153" s="34"/>
      <x:c r="H153" s="34"/>
      <x:c r="I153" s="35" t="str">
        <x:f>IF(B153="","",IF(COUNTIF('专家金标'!$A$5:$A$204,B153)=0,"未找到金标",IF(H153=INDEX('专家金标'!$J$5:$J$204,MATCH(B153,'专家金标'!$A$5:$A$204,0)),"是","否")))</x:f>
      </x:c>
      <x:c r="J153" s="34"/>
      <x:c r="K153" s="34"/>
      <x:c r="L153" s="34"/>
      <x:c r="M153" s="34"/>
      <x:c r="N153" s="34"/>
      <x:c r="O153" s="34"/>
      <x:c r="P153" s="34"/>
      <x:c r="Q153" s="35" t="str">
        <x:f>IF(B153="","",IF(I153&lt;&gt;"是","不通过",IF(O153&lt;&gt;"否","不通过",IF(H153="ANSWER",IF(AND(K153=2,L153=2,M153=2,N153=2),"通过","不通过"),IF(H153="CONFLICT",IF(AND(K153=2,L153=2,M153=2,N153=2,P153=2),"通过","不通过"),IF(H153="INSUFFICIENT_EVIDENCE","通过","待填写"))))))</x:f>
      </x:c>
      <x:c r="R153" s="34"/>
      <x:c r="S153" s="34"/>
      <x:c r="T153" s="34"/>
      <x:c r="U153" s="34"/>
      <x:c r="V153" s="34"/>
      <x:c r="W153" s="34"/>
      <x:c r="X153" s="34"/>
      <x:c r="Y153" s="34"/>
      <x:c r="Z153" s="34"/>
      <x:c r="AA153" s="34"/>
    </x:row>
    <x:row r="154" ht="34" customHeight="1">
      <x:c r="A154" s="34"/>
      <x:c r="B154" s="34"/>
      <x:c r="C154" s="34"/>
      <x:c r="D154" s="41"/>
      <x:c r="E154" s="34"/>
      <x:c r="F154" s="34"/>
      <x:c r="G154" s="34"/>
      <x:c r="H154" s="34"/>
      <x:c r="I154" s="35" t="str">
        <x:f>IF(B154="","",IF(COUNTIF('专家金标'!$A$5:$A$204,B154)=0,"未找到金标",IF(H154=INDEX('专家金标'!$J$5:$J$204,MATCH(B154,'专家金标'!$A$5:$A$204,0)),"是","否")))</x:f>
      </x:c>
      <x:c r="J154" s="34"/>
      <x:c r="K154" s="34"/>
      <x:c r="L154" s="34"/>
      <x:c r="M154" s="34"/>
      <x:c r="N154" s="34"/>
      <x:c r="O154" s="34"/>
      <x:c r="P154" s="34"/>
      <x:c r="Q154" s="35" t="str">
        <x:f>IF(B154="","",IF(I154&lt;&gt;"是","不通过",IF(O154&lt;&gt;"否","不通过",IF(H154="ANSWER",IF(AND(K154=2,L154=2,M154=2,N154=2),"通过","不通过"),IF(H154="CONFLICT",IF(AND(K154=2,L154=2,M154=2,N154=2,P154=2),"通过","不通过"),IF(H154="INSUFFICIENT_EVIDENCE","通过","待填写"))))))</x:f>
      </x:c>
      <x:c r="R154" s="34"/>
      <x:c r="S154" s="34"/>
      <x:c r="T154" s="34"/>
      <x:c r="U154" s="34"/>
      <x:c r="V154" s="34"/>
      <x:c r="W154" s="34"/>
      <x:c r="X154" s="34"/>
      <x:c r="Y154" s="34"/>
      <x:c r="Z154" s="34"/>
      <x:c r="AA154" s="34"/>
    </x:row>
    <x:row r="155" ht="34" customHeight="1">
      <x:c r="A155" s="34"/>
      <x:c r="B155" s="34"/>
      <x:c r="C155" s="34"/>
      <x:c r="D155" s="41"/>
      <x:c r="E155" s="34"/>
      <x:c r="F155" s="34"/>
      <x:c r="G155" s="34"/>
      <x:c r="H155" s="34"/>
      <x:c r="I155" s="35" t="str">
        <x:f>IF(B155="","",IF(COUNTIF('专家金标'!$A$5:$A$204,B155)=0,"未找到金标",IF(H155=INDEX('专家金标'!$J$5:$J$204,MATCH(B155,'专家金标'!$A$5:$A$204,0)),"是","否")))</x:f>
      </x:c>
      <x:c r="J155" s="34"/>
      <x:c r="K155" s="34"/>
      <x:c r="L155" s="34"/>
      <x:c r="M155" s="34"/>
      <x:c r="N155" s="34"/>
      <x:c r="O155" s="34"/>
      <x:c r="P155" s="34"/>
      <x:c r="Q155" s="35" t="str">
        <x:f>IF(B155="","",IF(I155&lt;&gt;"是","不通过",IF(O155&lt;&gt;"否","不通过",IF(H155="ANSWER",IF(AND(K155=2,L155=2,M155=2,N155=2),"通过","不通过"),IF(H155="CONFLICT",IF(AND(K155=2,L155=2,M155=2,N155=2,P155=2),"通过","不通过"),IF(H155="INSUFFICIENT_EVIDENCE","通过","待填写"))))))</x:f>
      </x:c>
      <x:c r="R155" s="34"/>
      <x:c r="S155" s="34"/>
      <x:c r="T155" s="34"/>
      <x:c r="U155" s="34"/>
      <x:c r="V155" s="34"/>
      <x:c r="W155" s="34"/>
      <x:c r="X155" s="34"/>
      <x:c r="Y155" s="34"/>
      <x:c r="Z155" s="34"/>
      <x:c r="AA155" s="34"/>
    </x:row>
    <x:row r="156" ht="34" customHeight="1">
      <x:c r="A156" s="34"/>
      <x:c r="B156" s="34"/>
      <x:c r="C156" s="34"/>
      <x:c r="D156" s="41"/>
      <x:c r="E156" s="34"/>
      <x:c r="F156" s="34"/>
      <x:c r="G156" s="34"/>
      <x:c r="H156" s="34"/>
      <x:c r="I156" s="35" t="str">
        <x:f>IF(B156="","",IF(COUNTIF('专家金标'!$A$5:$A$204,B156)=0,"未找到金标",IF(H156=INDEX('专家金标'!$J$5:$J$204,MATCH(B156,'专家金标'!$A$5:$A$204,0)),"是","否")))</x:f>
      </x:c>
      <x:c r="J156" s="34"/>
      <x:c r="K156" s="34"/>
      <x:c r="L156" s="34"/>
      <x:c r="M156" s="34"/>
      <x:c r="N156" s="34"/>
      <x:c r="O156" s="34"/>
      <x:c r="P156" s="34"/>
      <x:c r="Q156" s="35" t="str">
        <x:f>IF(B156="","",IF(I156&lt;&gt;"是","不通过",IF(O156&lt;&gt;"否","不通过",IF(H156="ANSWER",IF(AND(K156=2,L156=2,M156=2,N156=2),"通过","不通过"),IF(H156="CONFLICT",IF(AND(K156=2,L156=2,M156=2,N156=2,P156=2),"通过","不通过"),IF(H156="INSUFFICIENT_EVIDENCE","通过","待填写"))))))</x:f>
      </x:c>
      <x:c r="R156" s="34"/>
      <x:c r="S156" s="34"/>
      <x:c r="T156" s="34"/>
      <x:c r="U156" s="34"/>
      <x:c r="V156" s="34"/>
      <x:c r="W156" s="34"/>
      <x:c r="X156" s="34"/>
      <x:c r="Y156" s="34"/>
      <x:c r="Z156" s="34"/>
      <x:c r="AA156" s="34"/>
    </x:row>
    <x:row r="157" ht="34" customHeight="1">
      <x:c r="A157" s="34"/>
      <x:c r="B157" s="34"/>
      <x:c r="C157" s="34"/>
      <x:c r="D157" s="41"/>
      <x:c r="E157" s="34"/>
      <x:c r="F157" s="34"/>
      <x:c r="G157" s="34"/>
      <x:c r="H157" s="34"/>
      <x:c r="I157" s="35" t="str">
        <x:f>IF(B157="","",IF(COUNTIF('专家金标'!$A$5:$A$204,B157)=0,"未找到金标",IF(H157=INDEX('专家金标'!$J$5:$J$204,MATCH(B157,'专家金标'!$A$5:$A$204,0)),"是","否")))</x:f>
      </x:c>
      <x:c r="J157" s="34"/>
      <x:c r="K157" s="34"/>
      <x:c r="L157" s="34"/>
      <x:c r="M157" s="34"/>
      <x:c r="N157" s="34"/>
      <x:c r="O157" s="34"/>
      <x:c r="P157" s="34"/>
      <x:c r="Q157" s="35" t="str">
        <x:f>IF(B157="","",IF(I157&lt;&gt;"是","不通过",IF(O157&lt;&gt;"否","不通过",IF(H157="ANSWER",IF(AND(K157=2,L157=2,M157=2,N157=2),"通过","不通过"),IF(H157="CONFLICT",IF(AND(K157=2,L157=2,M157=2,N157=2,P157=2),"通过","不通过"),IF(H157="INSUFFICIENT_EVIDENCE","通过","待填写"))))))</x:f>
      </x:c>
      <x:c r="R157" s="34"/>
      <x:c r="S157" s="34"/>
      <x:c r="T157" s="34"/>
      <x:c r="U157" s="34"/>
      <x:c r="V157" s="34"/>
      <x:c r="W157" s="34"/>
      <x:c r="X157" s="34"/>
      <x:c r="Y157" s="34"/>
      <x:c r="Z157" s="34"/>
      <x:c r="AA157" s="34"/>
    </x:row>
    <x:row r="158" ht="34" customHeight="1">
      <x:c r="A158" s="34"/>
      <x:c r="B158" s="34"/>
      <x:c r="C158" s="34"/>
      <x:c r="D158" s="41"/>
      <x:c r="E158" s="34"/>
      <x:c r="F158" s="34"/>
      <x:c r="G158" s="34"/>
      <x:c r="H158" s="34"/>
      <x:c r="I158" s="35" t="str">
        <x:f>IF(B158="","",IF(COUNTIF('专家金标'!$A$5:$A$204,B158)=0,"未找到金标",IF(H158=INDEX('专家金标'!$J$5:$J$204,MATCH(B158,'专家金标'!$A$5:$A$204,0)),"是","否")))</x:f>
      </x:c>
      <x:c r="J158" s="34"/>
      <x:c r="K158" s="34"/>
      <x:c r="L158" s="34"/>
      <x:c r="M158" s="34"/>
      <x:c r="N158" s="34"/>
      <x:c r="O158" s="34"/>
      <x:c r="P158" s="34"/>
      <x:c r="Q158" s="35" t="str">
        <x:f>IF(B158="","",IF(I158&lt;&gt;"是","不通过",IF(O158&lt;&gt;"否","不通过",IF(H158="ANSWER",IF(AND(K158=2,L158=2,M158=2,N158=2),"通过","不通过"),IF(H158="CONFLICT",IF(AND(K158=2,L158=2,M158=2,N158=2,P158=2),"通过","不通过"),IF(H158="INSUFFICIENT_EVIDENCE","通过","待填写"))))))</x:f>
      </x:c>
      <x:c r="R158" s="34"/>
      <x:c r="S158" s="34"/>
      <x:c r="T158" s="34"/>
      <x:c r="U158" s="34"/>
      <x:c r="V158" s="34"/>
      <x:c r="W158" s="34"/>
      <x:c r="X158" s="34"/>
      <x:c r="Y158" s="34"/>
      <x:c r="Z158" s="34"/>
      <x:c r="AA158" s="34"/>
    </x:row>
    <x:row r="159" ht="34" customHeight="1">
      <x:c r="A159" s="34"/>
      <x:c r="B159" s="34"/>
      <x:c r="C159" s="34"/>
      <x:c r="D159" s="41"/>
      <x:c r="E159" s="34"/>
      <x:c r="F159" s="34"/>
      <x:c r="G159" s="34"/>
      <x:c r="H159" s="34"/>
      <x:c r="I159" s="35" t="str">
        <x:f>IF(B159="","",IF(COUNTIF('专家金标'!$A$5:$A$204,B159)=0,"未找到金标",IF(H159=INDEX('专家金标'!$J$5:$J$204,MATCH(B159,'专家金标'!$A$5:$A$204,0)),"是","否")))</x:f>
      </x:c>
      <x:c r="J159" s="34"/>
      <x:c r="K159" s="34"/>
      <x:c r="L159" s="34"/>
      <x:c r="M159" s="34"/>
      <x:c r="N159" s="34"/>
      <x:c r="O159" s="34"/>
      <x:c r="P159" s="34"/>
      <x:c r="Q159" s="35" t="str">
        <x:f>IF(B159="","",IF(I159&lt;&gt;"是","不通过",IF(O159&lt;&gt;"否","不通过",IF(H159="ANSWER",IF(AND(K159=2,L159=2,M159=2,N159=2),"通过","不通过"),IF(H159="CONFLICT",IF(AND(K159=2,L159=2,M159=2,N159=2,P159=2),"通过","不通过"),IF(H159="INSUFFICIENT_EVIDENCE","通过","待填写"))))))</x:f>
      </x:c>
      <x:c r="R159" s="34"/>
      <x:c r="S159" s="34"/>
      <x:c r="T159" s="34"/>
      <x:c r="U159" s="34"/>
      <x:c r="V159" s="34"/>
      <x:c r="W159" s="34"/>
      <x:c r="X159" s="34"/>
      <x:c r="Y159" s="34"/>
      <x:c r="Z159" s="34"/>
      <x:c r="AA159" s="34"/>
    </x:row>
    <x:row r="160" ht="34" customHeight="1">
      <x:c r="A160" s="34"/>
      <x:c r="B160" s="34"/>
      <x:c r="C160" s="34"/>
      <x:c r="D160" s="41"/>
      <x:c r="E160" s="34"/>
      <x:c r="F160" s="34"/>
      <x:c r="G160" s="34"/>
      <x:c r="H160" s="34"/>
      <x:c r="I160" s="35" t="str">
        <x:f>IF(B160="","",IF(COUNTIF('专家金标'!$A$5:$A$204,B160)=0,"未找到金标",IF(H160=INDEX('专家金标'!$J$5:$J$204,MATCH(B160,'专家金标'!$A$5:$A$204,0)),"是","否")))</x:f>
      </x:c>
      <x:c r="J160" s="34"/>
      <x:c r="K160" s="34"/>
      <x:c r="L160" s="34"/>
      <x:c r="M160" s="34"/>
      <x:c r="N160" s="34"/>
      <x:c r="O160" s="34"/>
      <x:c r="P160" s="34"/>
      <x:c r="Q160" s="35" t="str">
        <x:f>IF(B160="","",IF(I160&lt;&gt;"是","不通过",IF(O160&lt;&gt;"否","不通过",IF(H160="ANSWER",IF(AND(K160=2,L160=2,M160=2,N160=2),"通过","不通过"),IF(H160="CONFLICT",IF(AND(K160=2,L160=2,M160=2,N160=2,P160=2),"通过","不通过"),IF(H160="INSUFFICIENT_EVIDENCE","通过","待填写"))))))</x:f>
      </x:c>
      <x:c r="R160" s="34"/>
      <x:c r="S160" s="34"/>
      <x:c r="T160" s="34"/>
      <x:c r="U160" s="34"/>
      <x:c r="V160" s="34"/>
      <x:c r="W160" s="34"/>
      <x:c r="X160" s="34"/>
      <x:c r="Y160" s="34"/>
      <x:c r="Z160" s="34"/>
      <x:c r="AA160" s="34"/>
    </x:row>
    <x:row r="161" ht="34" customHeight="1">
      <x:c r="A161" s="34"/>
      <x:c r="B161" s="34"/>
      <x:c r="C161" s="34"/>
      <x:c r="D161" s="41"/>
      <x:c r="E161" s="34"/>
      <x:c r="F161" s="34"/>
      <x:c r="G161" s="34"/>
      <x:c r="H161" s="34"/>
      <x:c r="I161" s="35" t="str">
        <x:f>IF(B161="","",IF(COUNTIF('专家金标'!$A$5:$A$204,B161)=0,"未找到金标",IF(H161=INDEX('专家金标'!$J$5:$J$204,MATCH(B161,'专家金标'!$A$5:$A$204,0)),"是","否")))</x:f>
      </x:c>
      <x:c r="J161" s="34"/>
      <x:c r="K161" s="34"/>
      <x:c r="L161" s="34"/>
      <x:c r="M161" s="34"/>
      <x:c r="N161" s="34"/>
      <x:c r="O161" s="34"/>
      <x:c r="P161" s="34"/>
      <x:c r="Q161" s="35" t="str">
        <x:f>IF(B161="","",IF(I161&lt;&gt;"是","不通过",IF(O161&lt;&gt;"否","不通过",IF(H161="ANSWER",IF(AND(K161=2,L161=2,M161=2,N161=2),"通过","不通过"),IF(H161="CONFLICT",IF(AND(K161=2,L161=2,M161=2,N161=2,P161=2),"通过","不通过"),IF(H161="INSUFFICIENT_EVIDENCE","通过","待填写"))))))</x:f>
      </x:c>
      <x:c r="R161" s="34"/>
      <x:c r="S161" s="34"/>
      <x:c r="T161" s="34"/>
      <x:c r="U161" s="34"/>
      <x:c r="V161" s="34"/>
      <x:c r="W161" s="34"/>
      <x:c r="X161" s="34"/>
      <x:c r="Y161" s="34"/>
      <x:c r="Z161" s="34"/>
      <x:c r="AA161" s="34"/>
    </x:row>
    <x:row r="162" ht="34" customHeight="1">
      <x:c r="A162" s="34"/>
      <x:c r="B162" s="34"/>
      <x:c r="C162" s="34"/>
      <x:c r="D162" s="41"/>
      <x:c r="E162" s="34"/>
      <x:c r="F162" s="34"/>
      <x:c r="G162" s="34"/>
      <x:c r="H162" s="34"/>
      <x:c r="I162" s="35" t="str">
        <x:f>IF(B162="","",IF(COUNTIF('专家金标'!$A$5:$A$204,B162)=0,"未找到金标",IF(H162=INDEX('专家金标'!$J$5:$J$204,MATCH(B162,'专家金标'!$A$5:$A$204,0)),"是","否")))</x:f>
      </x:c>
      <x:c r="J162" s="34"/>
      <x:c r="K162" s="34"/>
      <x:c r="L162" s="34"/>
      <x:c r="M162" s="34"/>
      <x:c r="N162" s="34"/>
      <x:c r="O162" s="34"/>
      <x:c r="P162" s="34"/>
      <x:c r="Q162" s="35" t="str">
        <x:f>IF(B162="","",IF(I162&lt;&gt;"是","不通过",IF(O162&lt;&gt;"否","不通过",IF(H162="ANSWER",IF(AND(K162=2,L162=2,M162=2,N162=2),"通过","不通过"),IF(H162="CONFLICT",IF(AND(K162=2,L162=2,M162=2,N162=2,P162=2),"通过","不通过"),IF(H162="INSUFFICIENT_EVIDENCE","通过","待填写"))))))</x:f>
      </x:c>
      <x:c r="R162" s="34"/>
      <x:c r="S162" s="34"/>
      <x:c r="T162" s="34"/>
      <x:c r="U162" s="34"/>
      <x:c r="V162" s="34"/>
      <x:c r="W162" s="34"/>
      <x:c r="X162" s="34"/>
      <x:c r="Y162" s="34"/>
      <x:c r="Z162" s="34"/>
      <x:c r="AA162" s="34"/>
    </x:row>
    <x:row r="163" ht="34" customHeight="1">
      <x:c r="A163" s="34"/>
      <x:c r="B163" s="34"/>
      <x:c r="C163" s="34"/>
      <x:c r="D163" s="41"/>
      <x:c r="E163" s="34"/>
      <x:c r="F163" s="34"/>
      <x:c r="G163" s="34"/>
      <x:c r="H163" s="34"/>
      <x:c r="I163" s="35" t="str">
        <x:f>IF(B163="","",IF(COUNTIF('专家金标'!$A$5:$A$204,B163)=0,"未找到金标",IF(H163=INDEX('专家金标'!$J$5:$J$204,MATCH(B163,'专家金标'!$A$5:$A$204,0)),"是","否")))</x:f>
      </x:c>
      <x:c r="J163" s="34"/>
      <x:c r="K163" s="34"/>
      <x:c r="L163" s="34"/>
      <x:c r="M163" s="34"/>
      <x:c r="N163" s="34"/>
      <x:c r="O163" s="34"/>
      <x:c r="P163" s="34"/>
      <x:c r="Q163" s="35" t="str">
        <x:f>IF(B163="","",IF(I163&lt;&gt;"是","不通过",IF(O163&lt;&gt;"否","不通过",IF(H163="ANSWER",IF(AND(K163=2,L163=2,M163=2,N163=2),"通过","不通过"),IF(H163="CONFLICT",IF(AND(K163=2,L163=2,M163=2,N163=2,P163=2),"通过","不通过"),IF(H163="INSUFFICIENT_EVIDENCE","通过","待填写"))))))</x:f>
      </x:c>
      <x:c r="R163" s="34"/>
      <x:c r="S163" s="34"/>
      <x:c r="T163" s="34"/>
      <x:c r="U163" s="34"/>
      <x:c r="V163" s="34"/>
      <x:c r="W163" s="34"/>
      <x:c r="X163" s="34"/>
      <x:c r="Y163" s="34"/>
      <x:c r="Z163" s="34"/>
      <x:c r="AA163" s="34"/>
    </x:row>
    <x:row r="164" ht="34" customHeight="1">
      <x:c r="A164" s="34"/>
      <x:c r="B164" s="34"/>
      <x:c r="C164" s="34"/>
      <x:c r="D164" s="41"/>
      <x:c r="E164" s="34"/>
      <x:c r="F164" s="34"/>
      <x:c r="G164" s="34"/>
      <x:c r="H164" s="34"/>
      <x:c r="I164" s="35" t="str">
        <x:f>IF(B164="","",IF(COUNTIF('专家金标'!$A$5:$A$204,B164)=0,"未找到金标",IF(H164=INDEX('专家金标'!$J$5:$J$204,MATCH(B164,'专家金标'!$A$5:$A$204,0)),"是","否")))</x:f>
      </x:c>
      <x:c r="J164" s="34"/>
      <x:c r="K164" s="34"/>
      <x:c r="L164" s="34"/>
      <x:c r="M164" s="34"/>
      <x:c r="N164" s="34"/>
      <x:c r="O164" s="34"/>
      <x:c r="P164" s="34"/>
      <x:c r="Q164" s="35" t="str">
        <x:f>IF(B164="","",IF(I164&lt;&gt;"是","不通过",IF(O164&lt;&gt;"否","不通过",IF(H164="ANSWER",IF(AND(K164=2,L164=2,M164=2,N164=2),"通过","不通过"),IF(H164="CONFLICT",IF(AND(K164=2,L164=2,M164=2,N164=2,P164=2),"通过","不通过"),IF(H164="INSUFFICIENT_EVIDENCE","通过","待填写"))))))</x:f>
      </x:c>
      <x:c r="R164" s="34"/>
      <x:c r="S164" s="34"/>
      <x:c r="T164" s="34"/>
      <x:c r="U164" s="34"/>
      <x:c r="V164" s="34"/>
      <x:c r="W164" s="34"/>
      <x:c r="X164" s="34"/>
      <x:c r="Y164" s="34"/>
      <x:c r="Z164" s="34"/>
      <x:c r="AA164" s="34"/>
    </x:row>
    <x:row r="165" ht="34" customHeight="1">
      <x:c r="A165" s="34"/>
      <x:c r="B165" s="34"/>
      <x:c r="C165" s="34"/>
      <x:c r="D165" s="41"/>
      <x:c r="E165" s="34"/>
      <x:c r="F165" s="34"/>
      <x:c r="G165" s="34"/>
      <x:c r="H165" s="34"/>
      <x:c r="I165" s="35" t="str">
        <x:f>IF(B165="","",IF(COUNTIF('专家金标'!$A$5:$A$204,B165)=0,"未找到金标",IF(H165=INDEX('专家金标'!$J$5:$J$204,MATCH(B165,'专家金标'!$A$5:$A$204,0)),"是","否")))</x:f>
      </x:c>
      <x:c r="J165" s="34"/>
      <x:c r="K165" s="34"/>
      <x:c r="L165" s="34"/>
      <x:c r="M165" s="34"/>
      <x:c r="N165" s="34"/>
      <x:c r="O165" s="34"/>
      <x:c r="P165" s="34"/>
      <x:c r="Q165" s="35" t="str">
        <x:f>IF(B165="","",IF(I165&lt;&gt;"是","不通过",IF(O165&lt;&gt;"否","不通过",IF(H165="ANSWER",IF(AND(K165=2,L165=2,M165=2,N165=2),"通过","不通过"),IF(H165="CONFLICT",IF(AND(K165=2,L165=2,M165=2,N165=2,P165=2),"通过","不通过"),IF(H165="INSUFFICIENT_EVIDENCE","通过","待填写"))))))</x:f>
      </x:c>
      <x:c r="R165" s="34"/>
      <x:c r="S165" s="34"/>
      <x:c r="T165" s="34"/>
      <x:c r="U165" s="34"/>
      <x:c r="V165" s="34"/>
      <x:c r="W165" s="34"/>
      <x:c r="X165" s="34"/>
      <x:c r="Y165" s="34"/>
      <x:c r="Z165" s="34"/>
      <x:c r="AA165" s="34"/>
    </x:row>
    <x:row r="166" ht="34" customHeight="1">
      <x:c r="A166" s="34"/>
      <x:c r="B166" s="34"/>
      <x:c r="C166" s="34"/>
      <x:c r="D166" s="41"/>
      <x:c r="E166" s="34"/>
      <x:c r="F166" s="34"/>
      <x:c r="G166" s="34"/>
      <x:c r="H166" s="34"/>
      <x:c r="I166" s="35" t="str">
        <x:f>IF(B166="","",IF(COUNTIF('专家金标'!$A$5:$A$204,B166)=0,"未找到金标",IF(H166=INDEX('专家金标'!$J$5:$J$204,MATCH(B166,'专家金标'!$A$5:$A$204,0)),"是","否")))</x:f>
      </x:c>
      <x:c r="J166" s="34"/>
      <x:c r="K166" s="34"/>
      <x:c r="L166" s="34"/>
      <x:c r="M166" s="34"/>
      <x:c r="N166" s="34"/>
      <x:c r="O166" s="34"/>
      <x:c r="P166" s="34"/>
      <x:c r="Q166" s="35" t="str">
        <x:f>IF(B166="","",IF(I166&lt;&gt;"是","不通过",IF(O166&lt;&gt;"否","不通过",IF(H166="ANSWER",IF(AND(K166=2,L166=2,M166=2,N166=2),"通过","不通过"),IF(H166="CONFLICT",IF(AND(K166=2,L166=2,M166=2,N166=2,P166=2),"通过","不通过"),IF(H166="INSUFFICIENT_EVIDENCE","通过","待填写"))))))</x:f>
      </x:c>
      <x:c r="R166" s="34"/>
      <x:c r="S166" s="34"/>
      <x:c r="T166" s="34"/>
      <x:c r="U166" s="34"/>
      <x:c r="V166" s="34"/>
      <x:c r="W166" s="34"/>
      <x:c r="X166" s="34"/>
      <x:c r="Y166" s="34"/>
      <x:c r="Z166" s="34"/>
      <x:c r="AA166" s="34"/>
    </x:row>
    <x:row r="167" ht="34" customHeight="1">
      <x:c r="A167" s="34"/>
      <x:c r="B167" s="34"/>
      <x:c r="C167" s="34"/>
      <x:c r="D167" s="41"/>
      <x:c r="E167" s="34"/>
      <x:c r="F167" s="34"/>
      <x:c r="G167" s="34"/>
      <x:c r="H167" s="34"/>
      <x:c r="I167" s="35" t="str">
        <x:f>IF(B167="","",IF(COUNTIF('专家金标'!$A$5:$A$204,B167)=0,"未找到金标",IF(H167=INDEX('专家金标'!$J$5:$J$204,MATCH(B167,'专家金标'!$A$5:$A$204,0)),"是","否")))</x:f>
      </x:c>
      <x:c r="J167" s="34"/>
      <x:c r="K167" s="34"/>
      <x:c r="L167" s="34"/>
      <x:c r="M167" s="34"/>
      <x:c r="N167" s="34"/>
      <x:c r="O167" s="34"/>
      <x:c r="P167" s="34"/>
      <x:c r="Q167" s="35" t="str">
        <x:f>IF(B167="","",IF(I167&lt;&gt;"是","不通过",IF(O167&lt;&gt;"否","不通过",IF(H167="ANSWER",IF(AND(K167=2,L167=2,M167=2,N167=2),"通过","不通过"),IF(H167="CONFLICT",IF(AND(K167=2,L167=2,M167=2,N167=2,P167=2),"通过","不通过"),IF(H167="INSUFFICIENT_EVIDENCE","通过","待填写"))))))</x:f>
      </x:c>
      <x:c r="R167" s="34"/>
      <x:c r="S167" s="34"/>
      <x:c r="T167" s="34"/>
      <x:c r="U167" s="34"/>
      <x:c r="V167" s="34"/>
      <x:c r="W167" s="34"/>
      <x:c r="X167" s="34"/>
      <x:c r="Y167" s="34"/>
      <x:c r="Z167" s="34"/>
      <x:c r="AA167" s="34"/>
    </x:row>
    <x:row r="168" ht="34" customHeight="1">
      <x:c r="A168" s="34"/>
      <x:c r="B168" s="34"/>
      <x:c r="C168" s="34"/>
      <x:c r="D168" s="41"/>
      <x:c r="E168" s="34"/>
      <x:c r="F168" s="34"/>
      <x:c r="G168" s="34"/>
      <x:c r="H168" s="34"/>
      <x:c r="I168" s="35" t="str">
        <x:f>IF(B168="","",IF(COUNTIF('专家金标'!$A$5:$A$204,B168)=0,"未找到金标",IF(H168=INDEX('专家金标'!$J$5:$J$204,MATCH(B168,'专家金标'!$A$5:$A$204,0)),"是","否")))</x:f>
      </x:c>
      <x:c r="J168" s="34"/>
      <x:c r="K168" s="34"/>
      <x:c r="L168" s="34"/>
      <x:c r="M168" s="34"/>
      <x:c r="N168" s="34"/>
      <x:c r="O168" s="34"/>
      <x:c r="P168" s="34"/>
      <x:c r="Q168" s="35" t="str">
        <x:f>IF(B168="","",IF(I168&lt;&gt;"是","不通过",IF(O168&lt;&gt;"否","不通过",IF(H168="ANSWER",IF(AND(K168=2,L168=2,M168=2,N168=2),"通过","不通过"),IF(H168="CONFLICT",IF(AND(K168=2,L168=2,M168=2,N168=2,P168=2),"通过","不通过"),IF(H168="INSUFFICIENT_EVIDENCE","通过","待填写"))))))</x:f>
      </x:c>
      <x:c r="R168" s="34"/>
      <x:c r="S168" s="34"/>
      <x:c r="T168" s="34"/>
      <x:c r="U168" s="34"/>
      <x:c r="V168" s="34"/>
      <x:c r="W168" s="34"/>
      <x:c r="X168" s="34"/>
      <x:c r="Y168" s="34"/>
      <x:c r="Z168" s="34"/>
      <x:c r="AA168" s="34"/>
    </x:row>
    <x:row r="169" ht="34" customHeight="1">
      <x:c r="A169" s="34"/>
      <x:c r="B169" s="34"/>
      <x:c r="C169" s="34"/>
      <x:c r="D169" s="41"/>
      <x:c r="E169" s="34"/>
      <x:c r="F169" s="34"/>
      <x:c r="G169" s="34"/>
      <x:c r="H169" s="34"/>
      <x:c r="I169" s="35" t="str">
        <x:f>IF(B169="","",IF(COUNTIF('专家金标'!$A$5:$A$204,B169)=0,"未找到金标",IF(H169=INDEX('专家金标'!$J$5:$J$204,MATCH(B169,'专家金标'!$A$5:$A$204,0)),"是","否")))</x:f>
      </x:c>
      <x:c r="J169" s="34"/>
      <x:c r="K169" s="34"/>
      <x:c r="L169" s="34"/>
      <x:c r="M169" s="34"/>
      <x:c r="N169" s="34"/>
      <x:c r="O169" s="34"/>
      <x:c r="P169" s="34"/>
      <x:c r="Q169" s="35" t="str">
        <x:f>IF(B169="","",IF(I169&lt;&gt;"是","不通过",IF(O169&lt;&gt;"否","不通过",IF(H169="ANSWER",IF(AND(K169=2,L169=2,M169=2,N169=2),"通过","不通过"),IF(H169="CONFLICT",IF(AND(K169=2,L169=2,M169=2,N169=2,P169=2),"通过","不通过"),IF(H169="INSUFFICIENT_EVIDENCE","通过","待填写"))))))</x:f>
      </x:c>
      <x:c r="R169" s="34"/>
      <x:c r="S169" s="34"/>
      <x:c r="T169" s="34"/>
      <x:c r="U169" s="34"/>
      <x:c r="V169" s="34"/>
      <x:c r="W169" s="34"/>
      <x:c r="X169" s="34"/>
      <x:c r="Y169" s="34"/>
      <x:c r="Z169" s="34"/>
      <x:c r="AA169" s="34"/>
    </x:row>
    <x:row r="170" ht="34" customHeight="1">
      <x:c r="A170" s="34"/>
      <x:c r="B170" s="34"/>
      <x:c r="C170" s="34"/>
      <x:c r="D170" s="41"/>
      <x:c r="E170" s="34"/>
      <x:c r="F170" s="34"/>
      <x:c r="G170" s="34"/>
      <x:c r="H170" s="34"/>
      <x:c r="I170" s="35" t="str">
        <x:f>IF(B170="","",IF(COUNTIF('专家金标'!$A$5:$A$204,B170)=0,"未找到金标",IF(H170=INDEX('专家金标'!$J$5:$J$204,MATCH(B170,'专家金标'!$A$5:$A$204,0)),"是","否")))</x:f>
      </x:c>
      <x:c r="J170" s="34"/>
      <x:c r="K170" s="34"/>
      <x:c r="L170" s="34"/>
      <x:c r="M170" s="34"/>
      <x:c r="N170" s="34"/>
      <x:c r="O170" s="34"/>
      <x:c r="P170" s="34"/>
      <x:c r="Q170" s="35" t="str">
        <x:f>IF(B170="","",IF(I170&lt;&gt;"是","不通过",IF(O170&lt;&gt;"否","不通过",IF(H170="ANSWER",IF(AND(K170=2,L170=2,M170=2,N170=2),"通过","不通过"),IF(H170="CONFLICT",IF(AND(K170=2,L170=2,M170=2,N170=2,P170=2),"通过","不通过"),IF(H170="INSUFFICIENT_EVIDENCE","通过","待填写"))))))</x:f>
      </x:c>
      <x:c r="R170" s="34"/>
      <x:c r="S170" s="34"/>
      <x:c r="T170" s="34"/>
      <x:c r="U170" s="34"/>
      <x:c r="V170" s="34"/>
      <x:c r="W170" s="34"/>
      <x:c r="X170" s="34"/>
      <x:c r="Y170" s="34"/>
      <x:c r="Z170" s="34"/>
      <x:c r="AA170" s="34"/>
    </x:row>
    <x:row r="171" ht="34" customHeight="1">
      <x:c r="A171" s="34"/>
      <x:c r="B171" s="34"/>
      <x:c r="C171" s="34"/>
      <x:c r="D171" s="41"/>
      <x:c r="E171" s="34"/>
      <x:c r="F171" s="34"/>
      <x:c r="G171" s="34"/>
      <x:c r="H171" s="34"/>
      <x:c r="I171" s="35" t="str">
        <x:f>IF(B171="","",IF(COUNTIF('专家金标'!$A$5:$A$204,B171)=0,"未找到金标",IF(H171=INDEX('专家金标'!$J$5:$J$204,MATCH(B171,'专家金标'!$A$5:$A$204,0)),"是","否")))</x:f>
      </x:c>
      <x:c r="J171" s="34"/>
      <x:c r="K171" s="34"/>
      <x:c r="L171" s="34"/>
      <x:c r="M171" s="34"/>
      <x:c r="N171" s="34"/>
      <x:c r="O171" s="34"/>
      <x:c r="P171" s="34"/>
      <x:c r="Q171" s="35" t="str">
        <x:f>IF(B171="","",IF(I171&lt;&gt;"是","不通过",IF(O171&lt;&gt;"否","不通过",IF(H171="ANSWER",IF(AND(K171=2,L171=2,M171=2,N171=2),"通过","不通过"),IF(H171="CONFLICT",IF(AND(K171=2,L171=2,M171=2,N171=2,P171=2),"通过","不通过"),IF(H171="INSUFFICIENT_EVIDENCE","通过","待填写"))))))</x:f>
      </x:c>
      <x:c r="R171" s="34"/>
      <x:c r="S171" s="34"/>
      <x:c r="T171" s="34"/>
      <x:c r="U171" s="34"/>
      <x:c r="V171" s="34"/>
      <x:c r="W171" s="34"/>
      <x:c r="X171" s="34"/>
      <x:c r="Y171" s="34"/>
      <x:c r="Z171" s="34"/>
      <x:c r="AA171" s="34"/>
    </x:row>
    <x:row r="172" ht="34" customHeight="1">
      <x:c r="A172" s="34"/>
      <x:c r="B172" s="34"/>
      <x:c r="C172" s="34"/>
      <x:c r="D172" s="41"/>
      <x:c r="E172" s="34"/>
      <x:c r="F172" s="34"/>
      <x:c r="G172" s="34"/>
      <x:c r="H172" s="34"/>
      <x:c r="I172" s="35" t="str">
        <x:f>IF(B172="","",IF(COUNTIF('专家金标'!$A$5:$A$204,B172)=0,"未找到金标",IF(H172=INDEX('专家金标'!$J$5:$J$204,MATCH(B172,'专家金标'!$A$5:$A$204,0)),"是","否")))</x:f>
      </x:c>
      <x:c r="J172" s="34"/>
      <x:c r="K172" s="34"/>
      <x:c r="L172" s="34"/>
      <x:c r="M172" s="34"/>
      <x:c r="N172" s="34"/>
      <x:c r="O172" s="34"/>
      <x:c r="P172" s="34"/>
      <x:c r="Q172" s="35" t="str">
        <x:f>IF(B172="","",IF(I172&lt;&gt;"是","不通过",IF(O172&lt;&gt;"否","不通过",IF(H172="ANSWER",IF(AND(K172=2,L172=2,M172=2,N172=2),"通过","不通过"),IF(H172="CONFLICT",IF(AND(K172=2,L172=2,M172=2,N172=2,P172=2),"通过","不通过"),IF(H172="INSUFFICIENT_EVIDENCE","通过","待填写"))))))</x:f>
      </x:c>
      <x:c r="R172" s="34"/>
      <x:c r="S172" s="34"/>
      <x:c r="T172" s="34"/>
      <x:c r="U172" s="34"/>
      <x:c r="V172" s="34"/>
      <x:c r="W172" s="34"/>
      <x:c r="X172" s="34"/>
      <x:c r="Y172" s="34"/>
      <x:c r="Z172" s="34"/>
      <x:c r="AA172" s="34"/>
    </x:row>
    <x:row r="173" ht="34" customHeight="1">
      <x:c r="A173" s="34"/>
      <x:c r="B173" s="34"/>
      <x:c r="C173" s="34"/>
      <x:c r="D173" s="41"/>
      <x:c r="E173" s="34"/>
      <x:c r="F173" s="34"/>
      <x:c r="G173" s="34"/>
      <x:c r="H173" s="34"/>
      <x:c r="I173" s="35" t="str">
        <x:f>IF(B173="","",IF(COUNTIF('专家金标'!$A$5:$A$204,B173)=0,"未找到金标",IF(H173=INDEX('专家金标'!$J$5:$J$204,MATCH(B173,'专家金标'!$A$5:$A$204,0)),"是","否")))</x:f>
      </x:c>
      <x:c r="J173" s="34"/>
      <x:c r="K173" s="34"/>
      <x:c r="L173" s="34"/>
      <x:c r="M173" s="34"/>
      <x:c r="N173" s="34"/>
      <x:c r="O173" s="34"/>
      <x:c r="P173" s="34"/>
      <x:c r="Q173" s="35" t="str">
        <x:f>IF(B173="","",IF(I173&lt;&gt;"是","不通过",IF(O173&lt;&gt;"否","不通过",IF(H173="ANSWER",IF(AND(K173=2,L173=2,M173=2,N173=2),"通过","不通过"),IF(H173="CONFLICT",IF(AND(K173=2,L173=2,M173=2,N173=2,P173=2),"通过","不通过"),IF(H173="INSUFFICIENT_EVIDENCE","通过","待填写"))))))</x:f>
      </x:c>
      <x:c r="R173" s="34"/>
      <x:c r="S173" s="34"/>
      <x:c r="T173" s="34"/>
      <x:c r="U173" s="34"/>
      <x:c r="V173" s="34"/>
      <x:c r="W173" s="34"/>
      <x:c r="X173" s="34"/>
      <x:c r="Y173" s="34"/>
      <x:c r="Z173" s="34"/>
      <x:c r="AA173" s="34"/>
    </x:row>
    <x:row r="174" ht="34" customHeight="1">
      <x:c r="A174" s="34"/>
      <x:c r="B174" s="34"/>
      <x:c r="C174" s="34"/>
      <x:c r="D174" s="41"/>
      <x:c r="E174" s="34"/>
      <x:c r="F174" s="34"/>
      <x:c r="G174" s="34"/>
      <x:c r="H174" s="34"/>
      <x:c r="I174" s="35" t="str">
        <x:f>IF(B174="","",IF(COUNTIF('专家金标'!$A$5:$A$204,B174)=0,"未找到金标",IF(H174=INDEX('专家金标'!$J$5:$J$204,MATCH(B174,'专家金标'!$A$5:$A$204,0)),"是","否")))</x:f>
      </x:c>
      <x:c r="J174" s="34"/>
      <x:c r="K174" s="34"/>
      <x:c r="L174" s="34"/>
      <x:c r="M174" s="34"/>
      <x:c r="N174" s="34"/>
      <x:c r="O174" s="34"/>
      <x:c r="P174" s="34"/>
      <x:c r="Q174" s="35" t="str">
        <x:f>IF(B174="","",IF(I174&lt;&gt;"是","不通过",IF(O174&lt;&gt;"否","不通过",IF(H174="ANSWER",IF(AND(K174=2,L174=2,M174=2,N174=2),"通过","不通过"),IF(H174="CONFLICT",IF(AND(K174=2,L174=2,M174=2,N174=2,P174=2),"通过","不通过"),IF(H174="INSUFFICIENT_EVIDENCE","通过","待填写"))))))</x:f>
      </x:c>
      <x:c r="R174" s="34"/>
      <x:c r="S174" s="34"/>
      <x:c r="T174" s="34"/>
      <x:c r="U174" s="34"/>
      <x:c r="V174" s="34"/>
      <x:c r="W174" s="34"/>
      <x:c r="X174" s="34"/>
      <x:c r="Y174" s="34"/>
      <x:c r="Z174" s="34"/>
      <x:c r="AA174" s="34"/>
    </x:row>
    <x:row r="175" ht="34" customHeight="1">
      <x:c r="A175" s="34"/>
      <x:c r="B175" s="34"/>
      <x:c r="C175" s="34"/>
      <x:c r="D175" s="41"/>
      <x:c r="E175" s="34"/>
      <x:c r="F175" s="34"/>
      <x:c r="G175" s="34"/>
      <x:c r="H175" s="34"/>
      <x:c r="I175" s="35" t="str">
        <x:f>IF(B175="","",IF(COUNTIF('专家金标'!$A$5:$A$204,B175)=0,"未找到金标",IF(H175=INDEX('专家金标'!$J$5:$J$204,MATCH(B175,'专家金标'!$A$5:$A$204,0)),"是","否")))</x:f>
      </x:c>
      <x:c r="J175" s="34"/>
      <x:c r="K175" s="34"/>
      <x:c r="L175" s="34"/>
      <x:c r="M175" s="34"/>
      <x:c r="N175" s="34"/>
      <x:c r="O175" s="34"/>
      <x:c r="P175" s="34"/>
      <x:c r="Q175" s="35" t="str">
        <x:f>IF(B175="","",IF(I175&lt;&gt;"是","不通过",IF(O175&lt;&gt;"否","不通过",IF(H175="ANSWER",IF(AND(K175=2,L175=2,M175=2,N175=2),"通过","不通过"),IF(H175="CONFLICT",IF(AND(K175=2,L175=2,M175=2,N175=2,P175=2),"通过","不通过"),IF(H175="INSUFFICIENT_EVIDENCE","通过","待填写"))))))</x:f>
      </x:c>
      <x:c r="R175" s="34"/>
      <x:c r="S175" s="34"/>
      <x:c r="T175" s="34"/>
      <x:c r="U175" s="34"/>
      <x:c r="V175" s="34"/>
      <x:c r="W175" s="34"/>
      <x:c r="X175" s="34"/>
      <x:c r="Y175" s="34"/>
      <x:c r="Z175" s="34"/>
      <x:c r="AA175" s="34"/>
    </x:row>
    <x:row r="176" ht="34" customHeight="1">
      <x:c r="A176" s="34"/>
      <x:c r="B176" s="34"/>
      <x:c r="C176" s="34"/>
      <x:c r="D176" s="41"/>
      <x:c r="E176" s="34"/>
      <x:c r="F176" s="34"/>
      <x:c r="G176" s="34"/>
      <x:c r="H176" s="34"/>
      <x:c r="I176" s="35" t="str">
        <x:f>IF(B176="","",IF(COUNTIF('专家金标'!$A$5:$A$204,B176)=0,"未找到金标",IF(H176=INDEX('专家金标'!$J$5:$J$204,MATCH(B176,'专家金标'!$A$5:$A$204,0)),"是","否")))</x:f>
      </x:c>
      <x:c r="J176" s="34"/>
      <x:c r="K176" s="34"/>
      <x:c r="L176" s="34"/>
      <x:c r="M176" s="34"/>
      <x:c r="N176" s="34"/>
      <x:c r="O176" s="34"/>
      <x:c r="P176" s="34"/>
      <x:c r="Q176" s="35" t="str">
        <x:f>IF(B176="","",IF(I176&lt;&gt;"是","不通过",IF(O176&lt;&gt;"否","不通过",IF(H176="ANSWER",IF(AND(K176=2,L176=2,M176=2,N176=2),"通过","不通过"),IF(H176="CONFLICT",IF(AND(K176=2,L176=2,M176=2,N176=2,P176=2),"通过","不通过"),IF(H176="INSUFFICIENT_EVIDENCE","通过","待填写"))))))</x:f>
      </x:c>
      <x:c r="R176" s="34"/>
      <x:c r="S176" s="34"/>
      <x:c r="T176" s="34"/>
      <x:c r="U176" s="34"/>
      <x:c r="V176" s="34"/>
      <x:c r="W176" s="34"/>
      <x:c r="X176" s="34"/>
      <x:c r="Y176" s="34"/>
      <x:c r="Z176" s="34"/>
      <x:c r="AA176" s="34"/>
    </x:row>
    <x:row r="177" ht="34" customHeight="1">
      <x:c r="A177" s="34"/>
      <x:c r="B177" s="34"/>
      <x:c r="C177" s="34"/>
      <x:c r="D177" s="41"/>
      <x:c r="E177" s="34"/>
      <x:c r="F177" s="34"/>
      <x:c r="G177" s="34"/>
      <x:c r="H177" s="34"/>
      <x:c r="I177" s="35" t="str">
        <x:f>IF(B177="","",IF(COUNTIF('专家金标'!$A$5:$A$204,B177)=0,"未找到金标",IF(H177=INDEX('专家金标'!$J$5:$J$204,MATCH(B177,'专家金标'!$A$5:$A$204,0)),"是","否")))</x:f>
      </x:c>
      <x:c r="J177" s="34"/>
      <x:c r="K177" s="34"/>
      <x:c r="L177" s="34"/>
      <x:c r="M177" s="34"/>
      <x:c r="N177" s="34"/>
      <x:c r="O177" s="34"/>
      <x:c r="P177" s="34"/>
      <x:c r="Q177" s="35" t="str">
        <x:f>IF(B177="","",IF(I177&lt;&gt;"是","不通过",IF(O177&lt;&gt;"否","不通过",IF(H177="ANSWER",IF(AND(K177=2,L177=2,M177=2,N177=2),"通过","不通过"),IF(H177="CONFLICT",IF(AND(K177=2,L177=2,M177=2,N177=2,P177=2),"通过","不通过"),IF(H177="INSUFFICIENT_EVIDENCE","通过","待填写"))))))</x:f>
      </x:c>
      <x:c r="R177" s="34"/>
      <x:c r="S177" s="34"/>
      <x:c r="T177" s="34"/>
      <x:c r="U177" s="34"/>
      <x:c r="V177" s="34"/>
      <x:c r="W177" s="34"/>
      <x:c r="X177" s="34"/>
      <x:c r="Y177" s="34"/>
      <x:c r="Z177" s="34"/>
      <x:c r="AA177" s="34"/>
    </x:row>
    <x:row r="178" ht="34" customHeight="1">
      <x:c r="A178" s="34"/>
      <x:c r="B178" s="34"/>
      <x:c r="C178" s="34"/>
      <x:c r="D178" s="41"/>
      <x:c r="E178" s="34"/>
      <x:c r="F178" s="34"/>
      <x:c r="G178" s="34"/>
      <x:c r="H178" s="34"/>
      <x:c r="I178" s="35" t="str">
        <x:f>IF(B178="","",IF(COUNTIF('专家金标'!$A$5:$A$204,B178)=0,"未找到金标",IF(H178=INDEX('专家金标'!$J$5:$J$204,MATCH(B178,'专家金标'!$A$5:$A$204,0)),"是","否")))</x:f>
      </x:c>
      <x:c r="J178" s="34"/>
      <x:c r="K178" s="34"/>
      <x:c r="L178" s="34"/>
      <x:c r="M178" s="34"/>
      <x:c r="N178" s="34"/>
      <x:c r="O178" s="34"/>
      <x:c r="P178" s="34"/>
      <x:c r="Q178" s="35" t="str">
        <x:f>IF(B178="","",IF(I178&lt;&gt;"是","不通过",IF(O178&lt;&gt;"否","不通过",IF(H178="ANSWER",IF(AND(K178=2,L178=2,M178=2,N178=2),"通过","不通过"),IF(H178="CONFLICT",IF(AND(K178=2,L178=2,M178=2,N178=2,P178=2),"通过","不通过"),IF(H178="INSUFFICIENT_EVIDENCE","通过","待填写"))))))</x:f>
      </x:c>
      <x:c r="R178" s="34"/>
      <x:c r="S178" s="34"/>
      <x:c r="T178" s="34"/>
      <x:c r="U178" s="34"/>
      <x:c r="V178" s="34"/>
      <x:c r="W178" s="34"/>
      <x:c r="X178" s="34"/>
      <x:c r="Y178" s="34"/>
      <x:c r="Z178" s="34"/>
      <x:c r="AA178" s="34"/>
    </x:row>
    <x:row r="179" ht="34" customHeight="1">
      <x:c r="A179" s="34"/>
      <x:c r="B179" s="34"/>
      <x:c r="C179" s="34"/>
      <x:c r="D179" s="41"/>
      <x:c r="E179" s="34"/>
      <x:c r="F179" s="34"/>
      <x:c r="G179" s="34"/>
      <x:c r="H179" s="34"/>
      <x:c r="I179" s="35" t="str">
        <x:f>IF(B179="","",IF(COUNTIF('专家金标'!$A$5:$A$204,B179)=0,"未找到金标",IF(H179=INDEX('专家金标'!$J$5:$J$204,MATCH(B179,'专家金标'!$A$5:$A$204,0)),"是","否")))</x:f>
      </x:c>
      <x:c r="J179" s="34"/>
      <x:c r="K179" s="34"/>
      <x:c r="L179" s="34"/>
      <x:c r="M179" s="34"/>
      <x:c r="N179" s="34"/>
      <x:c r="O179" s="34"/>
      <x:c r="P179" s="34"/>
      <x:c r="Q179" s="35" t="str">
        <x:f>IF(B179="","",IF(I179&lt;&gt;"是","不通过",IF(O179&lt;&gt;"否","不通过",IF(H179="ANSWER",IF(AND(K179=2,L179=2,M179=2,N179=2),"通过","不通过"),IF(H179="CONFLICT",IF(AND(K179=2,L179=2,M179=2,N179=2,P179=2),"通过","不通过"),IF(H179="INSUFFICIENT_EVIDENCE","通过","待填写"))))))</x:f>
      </x:c>
      <x:c r="R179" s="34"/>
      <x:c r="S179" s="34"/>
      <x:c r="T179" s="34"/>
      <x:c r="U179" s="34"/>
      <x:c r="V179" s="34"/>
      <x:c r="W179" s="34"/>
      <x:c r="X179" s="34"/>
      <x:c r="Y179" s="34"/>
      <x:c r="Z179" s="34"/>
      <x:c r="AA179" s="34"/>
    </x:row>
    <x:row r="180" ht="34" customHeight="1">
      <x:c r="A180" s="34"/>
      <x:c r="B180" s="34"/>
      <x:c r="C180" s="34"/>
      <x:c r="D180" s="41"/>
      <x:c r="E180" s="34"/>
      <x:c r="F180" s="34"/>
      <x:c r="G180" s="34"/>
      <x:c r="H180" s="34"/>
      <x:c r="I180" s="35" t="str">
        <x:f>IF(B180="","",IF(COUNTIF('专家金标'!$A$5:$A$204,B180)=0,"未找到金标",IF(H180=INDEX('专家金标'!$J$5:$J$204,MATCH(B180,'专家金标'!$A$5:$A$204,0)),"是","否")))</x:f>
      </x:c>
      <x:c r="J180" s="34"/>
      <x:c r="K180" s="34"/>
      <x:c r="L180" s="34"/>
      <x:c r="M180" s="34"/>
      <x:c r="N180" s="34"/>
      <x:c r="O180" s="34"/>
      <x:c r="P180" s="34"/>
      <x:c r="Q180" s="35" t="str">
        <x:f>IF(B180="","",IF(I180&lt;&gt;"是","不通过",IF(O180&lt;&gt;"否","不通过",IF(H180="ANSWER",IF(AND(K180=2,L180=2,M180=2,N180=2),"通过","不通过"),IF(H180="CONFLICT",IF(AND(K180=2,L180=2,M180=2,N180=2,P180=2),"通过","不通过"),IF(H180="INSUFFICIENT_EVIDENCE","通过","待填写"))))))</x:f>
      </x:c>
      <x:c r="R180" s="34"/>
      <x:c r="S180" s="34"/>
      <x:c r="T180" s="34"/>
      <x:c r="U180" s="34"/>
      <x:c r="V180" s="34"/>
      <x:c r="W180" s="34"/>
      <x:c r="X180" s="34"/>
      <x:c r="Y180" s="34"/>
      <x:c r="Z180" s="34"/>
      <x:c r="AA180" s="34"/>
    </x:row>
    <x:row r="181" ht="34" customHeight="1">
      <x:c r="A181" s="34"/>
      <x:c r="B181" s="34"/>
      <x:c r="C181" s="34"/>
      <x:c r="D181" s="41"/>
      <x:c r="E181" s="34"/>
      <x:c r="F181" s="34"/>
      <x:c r="G181" s="34"/>
      <x:c r="H181" s="34"/>
      <x:c r="I181" s="35" t="str">
        <x:f>IF(B181="","",IF(COUNTIF('专家金标'!$A$5:$A$204,B181)=0,"未找到金标",IF(H181=INDEX('专家金标'!$J$5:$J$204,MATCH(B181,'专家金标'!$A$5:$A$204,0)),"是","否")))</x:f>
      </x:c>
      <x:c r="J181" s="34"/>
      <x:c r="K181" s="34"/>
      <x:c r="L181" s="34"/>
      <x:c r="M181" s="34"/>
      <x:c r="N181" s="34"/>
      <x:c r="O181" s="34"/>
      <x:c r="P181" s="34"/>
      <x:c r="Q181" s="35" t="str">
        <x:f>IF(B181="","",IF(I181&lt;&gt;"是","不通过",IF(O181&lt;&gt;"否","不通过",IF(H181="ANSWER",IF(AND(K181=2,L181=2,M181=2,N181=2),"通过","不通过"),IF(H181="CONFLICT",IF(AND(K181=2,L181=2,M181=2,N181=2,P181=2),"通过","不通过"),IF(H181="INSUFFICIENT_EVIDENCE","通过","待填写"))))))</x:f>
      </x:c>
      <x:c r="R181" s="34"/>
      <x:c r="S181" s="34"/>
      <x:c r="T181" s="34"/>
      <x:c r="U181" s="34"/>
      <x:c r="V181" s="34"/>
      <x:c r="W181" s="34"/>
      <x:c r="X181" s="34"/>
      <x:c r="Y181" s="34"/>
      <x:c r="Z181" s="34"/>
      <x:c r="AA181" s="34"/>
    </x:row>
    <x:row r="182" ht="34" customHeight="1">
      <x:c r="A182" s="34"/>
      <x:c r="B182" s="34"/>
      <x:c r="C182" s="34"/>
      <x:c r="D182" s="41"/>
      <x:c r="E182" s="34"/>
      <x:c r="F182" s="34"/>
      <x:c r="G182" s="34"/>
      <x:c r="H182" s="34"/>
      <x:c r="I182" s="35" t="str">
        <x:f>IF(B182="","",IF(COUNTIF('专家金标'!$A$5:$A$204,B182)=0,"未找到金标",IF(H182=INDEX('专家金标'!$J$5:$J$204,MATCH(B182,'专家金标'!$A$5:$A$204,0)),"是","否")))</x:f>
      </x:c>
      <x:c r="J182" s="34"/>
      <x:c r="K182" s="34"/>
      <x:c r="L182" s="34"/>
      <x:c r="M182" s="34"/>
      <x:c r="N182" s="34"/>
      <x:c r="O182" s="34"/>
      <x:c r="P182" s="34"/>
      <x:c r="Q182" s="35" t="str">
        <x:f>IF(B182="","",IF(I182&lt;&gt;"是","不通过",IF(O182&lt;&gt;"否","不通过",IF(H182="ANSWER",IF(AND(K182=2,L182=2,M182=2,N182=2),"通过","不通过"),IF(H182="CONFLICT",IF(AND(K182=2,L182=2,M182=2,N182=2,P182=2),"通过","不通过"),IF(H182="INSUFFICIENT_EVIDENCE","通过","待填写"))))))</x:f>
      </x:c>
      <x:c r="R182" s="34"/>
      <x:c r="S182" s="34"/>
      <x:c r="T182" s="34"/>
      <x:c r="U182" s="34"/>
      <x:c r="V182" s="34"/>
      <x:c r="W182" s="34"/>
      <x:c r="X182" s="34"/>
      <x:c r="Y182" s="34"/>
      <x:c r="Z182" s="34"/>
      <x:c r="AA182" s="34"/>
    </x:row>
    <x:row r="183" ht="34" customHeight="1">
      <x:c r="A183" s="34"/>
      <x:c r="B183" s="34"/>
      <x:c r="C183" s="34"/>
      <x:c r="D183" s="41"/>
      <x:c r="E183" s="34"/>
      <x:c r="F183" s="34"/>
      <x:c r="G183" s="34"/>
      <x:c r="H183" s="34"/>
      <x:c r="I183" s="35" t="str">
        <x:f>IF(B183="","",IF(COUNTIF('专家金标'!$A$5:$A$204,B183)=0,"未找到金标",IF(H183=INDEX('专家金标'!$J$5:$J$204,MATCH(B183,'专家金标'!$A$5:$A$204,0)),"是","否")))</x:f>
      </x:c>
      <x:c r="J183" s="34"/>
      <x:c r="K183" s="34"/>
      <x:c r="L183" s="34"/>
      <x:c r="M183" s="34"/>
      <x:c r="N183" s="34"/>
      <x:c r="O183" s="34"/>
      <x:c r="P183" s="34"/>
      <x:c r="Q183" s="35" t="str">
        <x:f>IF(B183="","",IF(I183&lt;&gt;"是","不通过",IF(O183&lt;&gt;"否","不通过",IF(H183="ANSWER",IF(AND(K183=2,L183=2,M183=2,N183=2),"通过","不通过"),IF(H183="CONFLICT",IF(AND(K183=2,L183=2,M183=2,N183=2,P183=2),"通过","不通过"),IF(H183="INSUFFICIENT_EVIDENCE","通过","待填写"))))))</x:f>
      </x:c>
      <x:c r="R183" s="34"/>
      <x:c r="S183" s="34"/>
      <x:c r="T183" s="34"/>
      <x:c r="U183" s="34"/>
      <x:c r="V183" s="34"/>
      <x:c r="W183" s="34"/>
      <x:c r="X183" s="34"/>
      <x:c r="Y183" s="34"/>
      <x:c r="Z183" s="34"/>
      <x:c r="AA183" s="34"/>
    </x:row>
    <x:row r="184" ht="34" customHeight="1">
      <x:c r="A184" s="34"/>
      <x:c r="B184" s="34"/>
      <x:c r="C184" s="34"/>
      <x:c r="D184" s="41"/>
      <x:c r="E184" s="34"/>
      <x:c r="F184" s="34"/>
      <x:c r="G184" s="34"/>
      <x:c r="H184" s="34"/>
      <x:c r="I184" s="35" t="str">
        <x:f>IF(B184="","",IF(COUNTIF('专家金标'!$A$5:$A$204,B184)=0,"未找到金标",IF(H184=INDEX('专家金标'!$J$5:$J$204,MATCH(B184,'专家金标'!$A$5:$A$204,0)),"是","否")))</x:f>
      </x:c>
      <x:c r="J184" s="34"/>
      <x:c r="K184" s="34"/>
      <x:c r="L184" s="34"/>
      <x:c r="M184" s="34"/>
      <x:c r="N184" s="34"/>
      <x:c r="O184" s="34"/>
      <x:c r="P184" s="34"/>
      <x:c r="Q184" s="35" t="str">
        <x:f>IF(B184="","",IF(I184&lt;&gt;"是","不通过",IF(O184&lt;&gt;"否","不通过",IF(H184="ANSWER",IF(AND(K184=2,L184=2,M184=2,N184=2),"通过","不通过"),IF(H184="CONFLICT",IF(AND(K184=2,L184=2,M184=2,N184=2,P184=2),"通过","不通过"),IF(H184="INSUFFICIENT_EVIDENCE","通过","待填写"))))))</x:f>
      </x:c>
      <x:c r="R184" s="34"/>
      <x:c r="S184" s="34"/>
      <x:c r="T184" s="34"/>
      <x:c r="U184" s="34"/>
      <x:c r="V184" s="34"/>
      <x:c r="W184" s="34"/>
      <x:c r="X184" s="34"/>
      <x:c r="Y184" s="34"/>
      <x:c r="Z184" s="34"/>
      <x:c r="AA184" s="34"/>
    </x:row>
    <x:row r="185" ht="34" customHeight="1">
      <x:c r="A185" s="34"/>
      <x:c r="B185" s="34"/>
      <x:c r="C185" s="34"/>
      <x:c r="D185" s="41"/>
      <x:c r="E185" s="34"/>
      <x:c r="F185" s="34"/>
      <x:c r="G185" s="34"/>
      <x:c r="H185" s="34"/>
      <x:c r="I185" s="35" t="str">
        <x:f>IF(B185="","",IF(COUNTIF('专家金标'!$A$5:$A$204,B185)=0,"未找到金标",IF(H185=INDEX('专家金标'!$J$5:$J$204,MATCH(B185,'专家金标'!$A$5:$A$204,0)),"是","否")))</x:f>
      </x:c>
      <x:c r="J185" s="34"/>
      <x:c r="K185" s="34"/>
      <x:c r="L185" s="34"/>
      <x:c r="M185" s="34"/>
      <x:c r="N185" s="34"/>
      <x:c r="O185" s="34"/>
      <x:c r="P185" s="34"/>
      <x:c r="Q185" s="35" t="str">
        <x:f>IF(B185="","",IF(I185&lt;&gt;"是","不通过",IF(O185&lt;&gt;"否","不通过",IF(H185="ANSWER",IF(AND(K185=2,L185=2,M185=2,N185=2),"通过","不通过"),IF(H185="CONFLICT",IF(AND(K185=2,L185=2,M185=2,N185=2,P185=2),"通过","不通过"),IF(H185="INSUFFICIENT_EVIDENCE","通过","待填写"))))))</x:f>
      </x:c>
      <x:c r="R185" s="34"/>
      <x:c r="S185" s="34"/>
      <x:c r="T185" s="34"/>
      <x:c r="U185" s="34"/>
      <x:c r="V185" s="34"/>
      <x:c r="W185" s="34"/>
      <x:c r="X185" s="34"/>
      <x:c r="Y185" s="34"/>
      <x:c r="Z185" s="34"/>
      <x:c r="AA185" s="34"/>
    </x:row>
    <x:row r="186" ht="34" customHeight="1">
      <x:c r="A186" s="34"/>
      <x:c r="B186" s="34"/>
      <x:c r="C186" s="34"/>
      <x:c r="D186" s="41"/>
      <x:c r="E186" s="34"/>
      <x:c r="F186" s="34"/>
      <x:c r="G186" s="34"/>
      <x:c r="H186" s="34"/>
      <x:c r="I186" s="35" t="str">
        <x:f>IF(B186="","",IF(COUNTIF('专家金标'!$A$5:$A$204,B186)=0,"未找到金标",IF(H186=INDEX('专家金标'!$J$5:$J$204,MATCH(B186,'专家金标'!$A$5:$A$204,0)),"是","否")))</x:f>
      </x:c>
      <x:c r="J186" s="34"/>
      <x:c r="K186" s="34"/>
      <x:c r="L186" s="34"/>
      <x:c r="M186" s="34"/>
      <x:c r="N186" s="34"/>
      <x:c r="O186" s="34"/>
      <x:c r="P186" s="34"/>
      <x:c r="Q186" s="35" t="str">
        <x:f>IF(B186="","",IF(I186&lt;&gt;"是","不通过",IF(O186&lt;&gt;"否","不通过",IF(H186="ANSWER",IF(AND(K186=2,L186=2,M186=2,N186=2),"通过","不通过"),IF(H186="CONFLICT",IF(AND(K186=2,L186=2,M186=2,N186=2,P186=2),"通过","不通过"),IF(H186="INSUFFICIENT_EVIDENCE","通过","待填写"))))))</x:f>
      </x:c>
      <x:c r="R186" s="34"/>
      <x:c r="S186" s="34"/>
      <x:c r="T186" s="34"/>
      <x:c r="U186" s="34"/>
      <x:c r="V186" s="34"/>
      <x:c r="W186" s="34"/>
      <x:c r="X186" s="34"/>
      <x:c r="Y186" s="34"/>
      <x:c r="Z186" s="34"/>
      <x:c r="AA186" s="34"/>
    </x:row>
    <x:row r="187" ht="34" customHeight="1">
      <x:c r="A187" s="34"/>
      <x:c r="B187" s="34"/>
      <x:c r="C187" s="34"/>
      <x:c r="D187" s="41"/>
      <x:c r="E187" s="34"/>
      <x:c r="F187" s="34"/>
      <x:c r="G187" s="34"/>
      <x:c r="H187" s="34"/>
      <x:c r="I187" s="35" t="str">
        <x:f>IF(B187="","",IF(COUNTIF('专家金标'!$A$5:$A$204,B187)=0,"未找到金标",IF(H187=INDEX('专家金标'!$J$5:$J$204,MATCH(B187,'专家金标'!$A$5:$A$204,0)),"是","否")))</x:f>
      </x:c>
      <x:c r="J187" s="34"/>
      <x:c r="K187" s="34"/>
      <x:c r="L187" s="34"/>
      <x:c r="M187" s="34"/>
      <x:c r="N187" s="34"/>
      <x:c r="O187" s="34"/>
      <x:c r="P187" s="34"/>
      <x:c r="Q187" s="35" t="str">
        <x:f>IF(B187="","",IF(I187&lt;&gt;"是","不通过",IF(O187&lt;&gt;"否","不通过",IF(H187="ANSWER",IF(AND(K187=2,L187=2,M187=2,N187=2),"通过","不通过"),IF(H187="CONFLICT",IF(AND(K187=2,L187=2,M187=2,N187=2,P187=2),"通过","不通过"),IF(H187="INSUFFICIENT_EVIDENCE","通过","待填写"))))))</x:f>
      </x:c>
      <x:c r="R187" s="34"/>
      <x:c r="S187" s="34"/>
      <x:c r="T187" s="34"/>
      <x:c r="U187" s="34"/>
      <x:c r="V187" s="34"/>
      <x:c r="W187" s="34"/>
      <x:c r="X187" s="34"/>
      <x:c r="Y187" s="34"/>
      <x:c r="Z187" s="34"/>
      <x:c r="AA187" s="34"/>
    </x:row>
    <x:row r="188" ht="34" customHeight="1">
      <x:c r="A188" s="34"/>
      <x:c r="B188" s="34"/>
      <x:c r="C188" s="34"/>
      <x:c r="D188" s="41"/>
      <x:c r="E188" s="34"/>
      <x:c r="F188" s="34"/>
      <x:c r="G188" s="34"/>
      <x:c r="H188" s="34"/>
      <x:c r="I188" s="35" t="str">
        <x:f>IF(B188="","",IF(COUNTIF('专家金标'!$A$5:$A$204,B188)=0,"未找到金标",IF(H188=INDEX('专家金标'!$J$5:$J$204,MATCH(B188,'专家金标'!$A$5:$A$204,0)),"是","否")))</x:f>
      </x:c>
      <x:c r="J188" s="34"/>
      <x:c r="K188" s="34"/>
      <x:c r="L188" s="34"/>
      <x:c r="M188" s="34"/>
      <x:c r="N188" s="34"/>
      <x:c r="O188" s="34"/>
      <x:c r="P188" s="34"/>
      <x:c r="Q188" s="35" t="str">
        <x:f>IF(B188="","",IF(I188&lt;&gt;"是","不通过",IF(O188&lt;&gt;"否","不通过",IF(H188="ANSWER",IF(AND(K188=2,L188=2,M188=2,N188=2),"通过","不通过"),IF(H188="CONFLICT",IF(AND(K188=2,L188=2,M188=2,N188=2,P188=2),"通过","不通过"),IF(H188="INSUFFICIENT_EVIDENCE","通过","待填写"))))))</x:f>
      </x:c>
      <x:c r="R188" s="34"/>
      <x:c r="S188" s="34"/>
      <x:c r="T188" s="34"/>
      <x:c r="U188" s="34"/>
      <x:c r="V188" s="34"/>
      <x:c r="W188" s="34"/>
      <x:c r="X188" s="34"/>
      <x:c r="Y188" s="34"/>
      <x:c r="Z188" s="34"/>
      <x:c r="AA188" s="34"/>
    </x:row>
    <x:row r="189" ht="34" customHeight="1">
      <x:c r="A189" s="34"/>
      <x:c r="B189" s="34"/>
      <x:c r="C189" s="34"/>
      <x:c r="D189" s="41"/>
      <x:c r="E189" s="34"/>
      <x:c r="F189" s="34"/>
      <x:c r="G189" s="34"/>
      <x:c r="H189" s="34"/>
      <x:c r="I189" s="35" t="str">
        <x:f>IF(B189="","",IF(COUNTIF('专家金标'!$A$5:$A$204,B189)=0,"未找到金标",IF(H189=INDEX('专家金标'!$J$5:$J$204,MATCH(B189,'专家金标'!$A$5:$A$204,0)),"是","否")))</x:f>
      </x:c>
      <x:c r="J189" s="34"/>
      <x:c r="K189" s="34"/>
      <x:c r="L189" s="34"/>
      <x:c r="M189" s="34"/>
      <x:c r="N189" s="34"/>
      <x:c r="O189" s="34"/>
      <x:c r="P189" s="34"/>
      <x:c r="Q189" s="35" t="str">
        <x:f>IF(B189="","",IF(I189&lt;&gt;"是","不通过",IF(O189&lt;&gt;"否","不通过",IF(H189="ANSWER",IF(AND(K189=2,L189=2,M189=2,N189=2),"通过","不通过"),IF(H189="CONFLICT",IF(AND(K189=2,L189=2,M189=2,N189=2,P189=2),"通过","不通过"),IF(H189="INSUFFICIENT_EVIDENCE","通过","待填写"))))))</x:f>
      </x:c>
      <x:c r="R189" s="34"/>
      <x:c r="S189" s="34"/>
      <x:c r="T189" s="34"/>
      <x:c r="U189" s="34"/>
      <x:c r="V189" s="34"/>
      <x:c r="W189" s="34"/>
      <x:c r="X189" s="34"/>
      <x:c r="Y189" s="34"/>
      <x:c r="Z189" s="34"/>
      <x:c r="AA189" s="34"/>
    </x:row>
    <x:row r="190" ht="34" customHeight="1">
      <x:c r="A190" s="34"/>
      <x:c r="B190" s="34"/>
      <x:c r="C190" s="34"/>
      <x:c r="D190" s="41"/>
      <x:c r="E190" s="34"/>
      <x:c r="F190" s="34"/>
      <x:c r="G190" s="34"/>
      <x:c r="H190" s="34"/>
      <x:c r="I190" s="35" t="str">
        <x:f>IF(B190="","",IF(COUNTIF('专家金标'!$A$5:$A$204,B190)=0,"未找到金标",IF(H190=INDEX('专家金标'!$J$5:$J$204,MATCH(B190,'专家金标'!$A$5:$A$204,0)),"是","否")))</x:f>
      </x:c>
      <x:c r="J190" s="34"/>
      <x:c r="K190" s="34"/>
      <x:c r="L190" s="34"/>
      <x:c r="M190" s="34"/>
      <x:c r="N190" s="34"/>
      <x:c r="O190" s="34"/>
      <x:c r="P190" s="34"/>
      <x:c r="Q190" s="35" t="str">
        <x:f>IF(B190="","",IF(I190&lt;&gt;"是","不通过",IF(O190&lt;&gt;"否","不通过",IF(H190="ANSWER",IF(AND(K190=2,L190=2,M190=2,N190=2),"通过","不通过"),IF(H190="CONFLICT",IF(AND(K190=2,L190=2,M190=2,N190=2,P190=2),"通过","不通过"),IF(H190="INSUFFICIENT_EVIDENCE","通过","待填写"))))))</x:f>
      </x:c>
      <x:c r="R190" s="34"/>
      <x:c r="S190" s="34"/>
      <x:c r="T190" s="34"/>
      <x:c r="U190" s="34"/>
      <x:c r="V190" s="34"/>
      <x:c r="W190" s="34"/>
      <x:c r="X190" s="34"/>
      <x:c r="Y190" s="34"/>
      <x:c r="Z190" s="34"/>
      <x:c r="AA190" s="34"/>
    </x:row>
    <x:row r="191" ht="34" customHeight="1">
      <x:c r="A191" s="34"/>
      <x:c r="B191" s="34"/>
      <x:c r="C191" s="34"/>
      <x:c r="D191" s="41"/>
      <x:c r="E191" s="34"/>
      <x:c r="F191" s="34"/>
      <x:c r="G191" s="34"/>
      <x:c r="H191" s="34"/>
      <x:c r="I191" s="35" t="str">
        <x:f>IF(B191="","",IF(COUNTIF('专家金标'!$A$5:$A$204,B191)=0,"未找到金标",IF(H191=INDEX('专家金标'!$J$5:$J$204,MATCH(B191,'专家金标'!$A$5:$A$204,0)),"是","否")))</x:f>
      </x:c>
      <x:c r="J191" s="34"/>
      <x:c r="K191" s="34"/>
      <x:c r="L191" s="34"/>
      <x:c r="M191" s="34"/>
      <x:c r="N191" s="34"/>
      <x:c r="O191" s="34"/>
      <x:c r="P191" s="34"/>
      <x:c r="Q191" s="35" t="str">
        <x:f>IF(B191="","",IF(I191&lt;&gt;"是","不通过",IF(O191&lt;&gt;"否","不通过",IF(H191="ANSWER",IF(AND(K191=2,L191=2,M191=2,N191=2),"通过","不通过"),IF(H191="CONFLICT",IF(AND(K191=2,L191=2,M191=2,N191=2,P191=2),"通过","不通过"),IF(H191="INSUFFICIENT_EVIDENCE","通过","待填写"))))))</x:f>
      </x:c>
      <x:c r="R191" s="34"/>
      <x:c r="S191" s="34"/>
      <x:c r="T191" s="34"/>
      <x:c r="U191" s="34"/>
      <x:c r="V191" s="34"/>
      <x:c r="W191" s="34"/>
      <x:c r="X191" s="34"/>
      <x:c r="Y191" s="34"/>
      <x:c r="Z191" s="34"/>
      <x:c r="AA191" s="34"/>
    </x:row>
    <x:row r="192" ht="34" customHeight="1">
      <x:c r="A192" s="34"/>
      <x:c r="B192" s="34"/>
      <x:c r="C192" s="34"/>
      <x:c r="D192" s="41"/>
      <x:c r="E192" s="34"/>
      <x:c r="F192" s="34"/>
      <x:c r="G192" s="34"/>
      <x:c r="H192" s="34"/>
      <x:c r="I192" s="35" t="str">
        <x:f>IF(B192="","",IF(COUNTIF('专家金标'!$A$5:$A$204,B192)=0,"未找到金标",IF(H192=INDEX('专家金标'!$J$5:$J$204,MATCH(B192,'专家金标'!$A$5:$A$204,0)),"是","否")))</x:f>
      </x:c>
      <x:c r="J192" s="34"/>
      <x:c r="K192" s="34"/>
      <x:c r="L192" s="34"/>
      <x:c r="M192" s="34"/>
      <x:c r="N192" s="34"/>
      <x:c r="O192" s="34"/>
      <x:c r="P192" s="34"/>
      <x:c r="Q192" s="35" t="str">
        <x:f>IF(B192="","",IF(I192&lt;&gt;"是","不通过",IF(O192&lt;&gt;"否","不通过",IF(H192="ANSWER",IF(AND(K192=2,L192=2,M192=2,N192=2),"通过","不通过"),IF(H192="CONFLICT",IF(AND(K192=2,L192=2,M192=2,N192=2,P192=2),"通过","不通过"),IF(H192="INSUFFICIENT_EVIDENCE","通过","待填写"))))))</x:f>
      </x:c>
      <x:c r="R192" s="34"/>
      <x:c r="S192" s="34"/>
      <x:c r="T192" s="34"/>
      <x:c r="U192" s="34"/>
      <x:c r="V192" s="34"/>
      <x:c r="W192" s="34"/>
      <x:c r="X192" s="34"/>
      <x:c r="Y192" s="34"/>
      <x:c r="Z192" s="34"/>
      <x:c r="AA192" s="34"/>
    </x:row>
    <x:row r="193" ht="34" customHeight="1">
      <x:c r="A193" s="34"/>
      <x:c r="B193" s="34"/>
      <x:c r="C193" s="34"/>
      <x:c r="D193" s="41"/>
      <x:c r="E193" s="34"/>
      <x:c r="F193" s="34"/>
      <x:c r="G193" s="34"/>
      <x:c r="H193" s="34"/>
      <x:c r="I193" s="35" t="str">
        <x:f>IF(B193="","",IF(COUNTIF('专家金标'!$A$5:$A$204,B193)=0,"未找到金标",IF(H193=INDEX('专家金标'!$J$5:$J$204,MATCH(B193,'专家金标'!$A$5:$A$204,0)),"是","否")))</x:f>
      </x:c>
      <x:c r="J193" s="34"/>
      <x:c r="K193" s="34"/>
      <x:c r="L193" s="34"/>
      <x:c r="M193" s="34"/>
      <x:c r="N193" s="34"/>
      <x:c r="O193" s="34"/>
      <x:c r="P193" s="34"/>
      <x:c r="Q193" s="35" t="str">
        <x:f>IF(B193="","",IF(I193&lt;&gt;"是","不通过",IF(O193&lt;&gt;"否","不通过",IF(H193="ANSWER",IF(AND(K193=2,L193=2,M193=2,N193=2),"通过","不通过"),IF(H193="CONFLICT",IF(AND(K193=2,L193=2,M193=2,N193=2,P193=2),"通过","不通过"),IF(H193="INSUFFICIENT_EVIDENCE","通过","待填写"))))))</x:f>
      </x:c>
      <x:c r="R193" s="34"/>
      <x:c r="S193" s="34"/>
      <x:c r="T193" s="34"/>
      <x:c r="U193" s="34"/>
      <x:c r="V193" s="34"/>
      <x:c r="W193" s="34"/>
      <x:c r="X193" s="34"/>
      <x:c r="Y193" s="34"/>
      <x:c r="Z193" s="34"/>
      <x:c r="AA193" s="34"/>
    </x:row>
    <x:row r="194" ht="34" customHeight="1">
      <x:c r="A194" s="34"/>
      <x:c r="B194" s="34"/>
      <x:c r="C194" s="34"/>
      <x:c r="D194" s="41"/>
      <x:c r="E194" s="34"/>
      <x:c r="F194" s="34"/>
      <x:c r="G194" s="34"/>
      <x:c r="H194" s="34"/>
      <x:c r="I194" s="35" t="str">
        <x:f>IF(B194="","",IF(COUNTIF('专家金标'!$A$5:$A$204,B194)=0,"未找到金标",IF(H194=INDEX('专家金标'!$J$5:$J$204,MATCH(B194,'专家金标'!$A$5:$A$204,0)),"是","否")))</x:f>
      </x:c>
      <x:c r="J194" s="34"/>
      <x:c r="K194" s="34"/>
      <x:c r="L194" s="34"/>
      <x:c r="M194" s="34"/>
      <x:c r="N194" s="34"/>
      <x:c r="O194" s="34"/>
      <x:c r="P194" s="34"/>
      <x:c r="Q194" s="35" t="str">
        <x:f>IF(B194="","",IF(I194&lt;&gt;"是","不通过",IF(O194&lt;&gt;"否","不通过",IF(H194="ANSWER",IF(AND(K194=2,L194=2,M194=2,N194=2),"通过","不通过"),IF(H194="CONFLICT",IF(AND(K194=2,L194=2,M194=2,N194=2,P194=2),"通过","不通过"),IF(H194="INSUFFICIENT_EVIDENCE","通过","待填写"))))))</x:f>
      </x:c>
      <x:c r="R194" s="34"/>
      <x:c r="S194" s="34"/>
      <x:c r="T194" s="34"/>
      <x:c r="U194" s="34"/>
      <x:c r="V194" s="34"/>
      <x:c r="W194" s="34"/>
      <x:c r="X194" s="34"/>
      <x:c r="Y194" s="34"/>
      <x:c r="Z194" s="34"/>
      <x:c r="AA194" s="34"/>
    </x:row>
    <x:row r="195" ht="34" customHeight="1">
      <x:c r="A195" s="34"/>
      <x:c r="B195" s="34"/>
      <x:c r="C195" s="34"/>
      <x:c r="D195" s="41"/>
      <x:c r="E195" s="34"/>
      <x:c r="F195" s="34"/>
      <x:c r="G195" s="34"/>
      <x:c r="H195" s="34"/>
      <x:c r="I195" s="35" t="str">
        <x:f>IF(B195="","",IF(COUNTIF('专家金标'!$A$5:$A$204,B195)=0,"未找到金标",IF(H195=INDEX('专家金标'!$J$5:$J$204,MATCH(B195,'专家金标'!$A$5:$A$204,0)),"是","否")))</x:f>
      </x:c>
      <x:c r="J195" s="34"/>
      <x:c r="K195" s="34"/>
      <x:c r="L195" s="34"/>
      <x:c r="M195" s="34"/>
      <x:c r="N195" s="34"/>
      <x:c r="O195" s="34"/>
      <x:c r="P195" s="34"/>
      <x:c r="Q195" s="35" t="str">
        <x:f>IF(B195="","",IF(I195&lt;&gt;"是","不通过",IF(O195&lt;&gt;"否","不通过",IF(H195="ANSWER",IF(AND(K195=2,L195=2,M195=2,N195=2),"通过","不通过"),IF(H195="CONFLICT",IF(AND(K195=2,L195=2,M195=2,N195=2,P195=2),"通过","不通过"),IF(H195="INSUFFICIENT_EVIDENCE","通过","待填写"))))))</x:f>
      </x:c>
      <x:c r="R195" s="34"/>
      <x:c r="S195" s="34"/>
      <x:c r="T195" s="34"/>
      <x:c r="U195" s="34"/>
      <x:c r="V195" s="34"/>
      <x:c r="W195" s="34"/>
      <x:c r="X195" s="34"/>
      <x:c r="Y195" s="34"/>
      <x:c r="Z195" s="34"/>
      <x:c r="AA195" s="34"/>
    </x:row>
    <x:row r="196" ht="34" customHeight="1">
      <x:c r="A196" s="34"/>
      <x:c r="B196" s="34"/>
      <x:c r="C196" s="34"/>
      <x:c r="D196" s="41"/>
      <x:c r="E196" s="34"/>
      <x:c r="F196" s="34"/>
      <x:c r="G196" s="34"/>
      <x:c r="H196" s="34"/>
      <x:c r="I196" s="35" t="str">
        <x:f>IF(B196="","",IF(COUNTIF('专家金标'!$A$5:$A$204,B196)=0,"未找到金标",IF(H196=INDEX('专家金标'!$J$5:$J$204,MATCH(B196,'专家金标'!$A$5:$A$204,0)),"是","否")))</x:f>
      </x:c>
      <x:c r="J196" s="34"/>
      <x:c r="K196" s="34"/>
      <x:c r="L196" s="34"/>
      <x:c r="M196" s="34"/>
      <x:c r="N196" s="34"/>
      <x:c r="O196" s="34"/>
      <x:c r="P196" s="34"/>
      <x:c r="Q196" s="35" t="str">
        <x:f>IF(B196="","",IF(I196&lt;&gt;"是","不通过",IF(O196&lt;&gt;"否","不通过",IF(H196="ANSWER",IF(AND(K196=2,L196=2,M196=2,N196=2),"通过","不通过"),IF(H196="CONFLICT",IF(AND(K196=2,L196=2,M196=2,N196=2,P196=2),"通过","不通过"),IF(H196="INSUFFICIENT_EVIDENCE","通过","待填写"))))))</x:f>
      </x:c>
      <x:c r="R196" s="34"/>
      <x:c r="S196" s="34"/>
      <x:c r="T196" s="34"/>
      <x:c r="U196" s="34"/>
      <x:c r="V196" s="34"/>
      <x:c r="W196" s="34"/>
      <x:c r="X196" s="34"/>
      <x:c r="Y196" s="34"/>
      <x:c r="Z196" s="34"/>
      <x:c r="AA196" s="34"/>
    </x:row>
    <x:row r="197" ht="34" customHeight="1">
      <x:c r="A197" s="34"/>
      <x:c r="B197" s="34"/>
      <x:c r="C197" s="34"/>
      <x:c r="D197" s="41"/>
      <x:c r="E197" s="34"/>
      <x:c r="F197" s="34"/>
      <x:c r="G197" s="34"/>
      <x:c r="H197" s="34"/>
      <x:c r="I197" s="35" t="str">
        <x:f>IF(B197="","",IF(COUNTIF('专家金标'!$A$5:$A$204,B197)=0,"未找到金标",IF(H197=INDEX('专家金标'!$J$5:$J$204,MATCH(B197,'专家金标'!$A$5:$A$204,0)),"是","否")))</x:f>
      </x:c>
      <x:c r="J197" s="34"/>
      <x:c r="K197" s="34"/>
      <x:c r="L197" s="34"/>
      <x:c r="M197" s="34"/>
      <x:c r="N197" s="34"/>
      <x:c r="O197" s="34"/>
      <x:c r="P197" s="34"/>
      <x:c r="Q197" s="35" t="str">
        <x:f>IF(B197="","",IF(I197&lt;&gt;"是","不通过",IF(O197&lt;&gt;"否","不通过",IF(H197="ANSWER",IF(AND(K197=2,L197=2,M197=2,N197=2),"通过","不通过"),IF(H197="CONFLICT",IF(AND(K197=2,L197=2,M197=2,N197=2,P197=2),"通过","不通过"),IF(H197="INSUFFICIENT_EVIDENCE","通过","待填写"))))))</x:f>
      </x:c>
      <x:c r="R197" s="34"/>
      <x:c r="S197" s="34"/>
      <x:c r="T197" s="34"/>
      <x:c r="U197" s="34"/>
      <x:c r="V197" s="34"/>
      <x:c r="W197" s="34"/>
      <x:c r="X197" s="34"/>
      <x:c r="Y197" s="34"/>
      <x:c r="Z197" s="34"/>
      <x:c r="AA197" s="34"/>
    </x:row>
    <x:row r="198" ht="34" customHeight="1">
      <x:c r="A198" s="34"/>
      <x:c r="B198" s="34"/>
      <x:c r="C198" s="34"/>
      <x:c r="D198" s="41"/>
      <x:c r="E198" s="34"/>
      <x:c r="F198" s="34"/>
      <x:c r="G198" s="34"/>
      <x:c r="H198" s="34"/>
      <x:c r="I198" s="35" t="str">
        <x:f>IF(B198="","",IF(COUNTIF('专家金标'!$A$5:$A$204,B198)=0,"未找到金标",IF(H198=INDEX('专家金标'!$J$5:$J$204,MATCH(B198,'专家金标'!$A$5:$A$204,0)),"是","否")))</x:f>
      </x:c>
      <x:c r="J198" s="34"/>
      <x:c r="K198" s="34"/>
      <x:c r="L198" s="34"/>
      <x:c r="M198" s="34"/>
      <x:c r="N198" s="34"/>
      <x:c r="O198" s="34"/>
      <x:c r="P198" s="34"/>
      <x:c r="Q198" s="35" t="str">
        <x:f>IF(B198="","",IF(I198&lt;&gt;"是","不通过",IF(O198&lt;&gt;"否","不通过",IF(H198="ANSWER",IF(AND(K198=2,L198=2,M198=2,N198=2),"通过","不通过"),IF(H198="CONFLICT",IF(AND(K198=2,L198=2,M198=2,N198=2,P198=2),"通过","不通过"),IF(H198="INSUFFICIENT_EVIDENCE","通过","待填写"))))))</x:f>
      </x:c>
      <x:c r="R198" s="34"/>
      <x:c r="S198" s="34"/>
      <x:c r="T198" s="34"/>
      <x:c r="U198" s="34"/>
      <x:c r="V198" s="34"/>
      <x:c r="W198" s="34"/>
      <x:c r="X198" s="34"/>
      <x:c r="Y198" s="34"/>
      <x:c r="Z198" s="34"/>
      <x:c r="AA198" s="34"/>
    </x:row>
    <x:row r="199" ht="34" customHeight="1">
      <x:c r="A199" s="34"/>
      <x:c r="B199" s="34"/>
      <x:c r="C199" s="34"/>
      <x:c r="D199" s="41"/>
      <x:c r="E199" s="34"/>
      <x:c r="F199" s="34"/>
      <x:c r="G199" s="34"/>
      <x:c r="H199" s="34"/>
      <x:c r="I199" s="35" t="str">
        <x:f>IF(B199="","",IF(COUNTIF('专家金标'!$A$5:$A$204,B199)=0,"未找到金标",IF(H199=INDEX('专家金标'!$J$5:$J$204,MATCH(B199,'专家金标'!$A$5:$A$204,0)),"是","否")))</x:f>
      </x:c>
      <x:c r="J199" s="34"/>
      <x:c r="K199" s="34"/>
      <x:c r="L199" s="34"/>
      <x:c r="M199" s="34"/>
      <x:c r="N199" s="34"/>
      <x:c r="O199" s="34"/>
      <x:c r="P199" s="34"/>
      <x:c r="Q199" s="35" t="str">
        <x:f>IF(B199="","",IF(I199&lt;&gt;"是","不通过",IF(O199&lt;&gt;"否","不通过",IF(H199="ANSWER",IF(AND(K199=2,L199=2,M199=2,N199=2),"通过","不通过"),IF(H199="CONFLICT",IF(AND(K199=2,L199=2,M199=2,N199=2,P199=2),"通过","不通过"),IF(H199="INSUFFICIENT_EVIDENCE","通过","待填写"))))))</x:f>
      </x:c>
      <x:c r="R199" s="34"/>
      <x:c r="S199" s="34"/>
      <x:c r="T199" s="34"/>
      <x:c r="U199" s="34"/>
      <x:c r="V199" s="34"/>
      <x:c r="W199" s="34"/>
      <x:c r="X199" s="34"/>
      <x:c r="Y199" s="34"/>
      <x:c r="Z199" s="34"/>
      <x:c r="AA199" s="34"/>
    </x:row>
    <x:row r="200" ht="34" customHeight="1">
      <x:c r="A200" s="34"/>
      <x:c r="B200" s="34"/>
      <x:c r="C200" s="34"/>
      <x:c r="D200" s="41"/>
      <x:c r="E200" s="34"/>
      <x:c r="F200" s="34"/>
      <x:c r="G200" s="34"/>
      <x:c r="H200" s="34"/>
      <x:c r="I200" s="35" t="str">
        <x:f>IF(B200="","",IF(COUNTIF('专家金标'!$A$5:$A$204,B200)=0,"未找到金标",IF(H200=INDEX('专家金标'!$J$5:$J$204,MATCH(B200,'专家金标'!$A$5:$A$204,0)),"是","否")))</x:f>
      </x:c>
      <x:c r="J200" s="34"/>
      <x:c r="K200" s="34"/>
      <x:c r="L200" s="34"/>
      <x:c r="M200" s="34"/>
      <x:c r="N200" s="34"/>
      <x:c r="O200" s="34"/>
      <x:c r="P200" s="34"/>
      <x:c r="Q200" s="35" t="str">
        <x:f>IF(B200="","",IF(I200&lt;&gt;"是","不通过",IF(O200&lt;&gt;"否","不通过",IF(H200="ANSWER",IF(AND(K200=2,L200=2,M200=2,N200=2),"通过","不通过"),IF(H200="CONFLICT",IF(AND(K200=2,L200=2,M200=2,N200=2,P200=2),"通过","不通过"),IF(H200="INSUFFICIENT_EVIDENCE","通过","待填写"))))))</x:f>
      </x:c>
      <x:c r="R200" s="34"/>
      <x:c r="S200" s="34"/>
      <x:c r="T200" s="34"/>
      <x:c r="U200" s="34"/>
      <x:c r="V200" s="34"/>
      <x:c r="W200" s="34"/>
      <x:c r="X200" s="34"/>
      <x:c r="Y200" s="34"/>
      <x:c r="Z200" s="34"/>
      <x:c r="AA200" s="34"/>
    </x:row>
    <x:row r="201" ht="34" customHeight="1">
      <x:c r="A201" s="34"/>
      <x:c r="B201" s="34"/>
      <x:c r="C201" s="34"/>
      <x:c r="D201" s="41"/>
      <x:c r="E201" s="34"/>
      <x:c r="F201" s="34"/>
      <x:c r="G201" s="34"/>
      <x:c r="H201" s="34"/>
      <x:c r="I201" s="35" t="str">
        <x:f>IF(B201="","",IF(COUNTIF('专家金标'!$A$5:$A$204,B201)=0,"未找到金标",IF(H201=INDEX('专家金标'!$J$5:$J$204,MATCH(B201,'专家金标'!$A$5:$A$204,0)),"是","否")))</x:f>
      </x:c>
      <x:c r="J201" s="34"/>
      <x:c r="K201" s="34"/>
      <x:c r="L201" s="34"/>
      <x:c r="M201" s="34"/>
      <x:c r="N201" s="34"/>
      <x:c r="O201" s="34"/>
      <x:c r="P201" s="34"/>
      <x:c r="Q201" s="35" t="str">
        <x:f>IF(B201="","",IF(I201&lt;&gt;"是","不通过",IF(O201&lt;&gt;"否","不通过",IF(H201="ANSWER",IF(AND(K201=2,L201=2,M201=2,N201=2),"通过","不通过"),IF(H201="CONFLICT",IF(AND(K201=2,L201=2,M201=2,N201=2,P201=2),"通过","不通过"),IF(H201="INSUFFICIENT_EVIDENCE","通过","待填写"))))))</x:f>
      </x:c>
      <x:c r="R201" s="34"/>
      <x:c r="S201" s="34"/>
      <x:c r="T201" s="34"/>
      <x:c r="U201" s="34"/>
      <x:c r="V201" s="34"/>
      <x:c r="W201" s="34"/>
      <x:c r="X201" s="34"/>
      <x:c r="Y201" s="34"/>
      <x:c r="Z201" s="34"/>
      <x:c r="AA201" s="34"/>
    </x:row>
    <x:row r="202" ht="34" customHeight="1">
      <x:c r="A202" s="34"/>
      <x:c r="B202" s="34"/>
      <x:c r="C202" s="34"/>
      <x:c r="D202" s="41"/>
      <x:c r="E202" s="34"/>
      <x:c r="F202" s="34"/>
      <x:c r="G202" s="34"/>
      <x:c r="H202" s="34"/>
      <x:c r="I202" s="35" t="str">
        <x:f>IF(B202="","",IF(COUNTIF('专家金标'!$A$5:$A$204,B202)=0,"未找到金标",IF(H202=INDEX('专家金标'!$J$5:$J$204,MATCH(B202,'专家金标'!$A$5:$A$204,0)),"是","否")))</x:f>
      </x:c>
      <x:c r="J202" s="34"/>
      <x:c r="K202" s="34"/>
      <x:c r="L202" s="34"/>
      <x:c r="M202" s="34"/>
      <x:c r="N202" s="34"/>
      <x:c r="O202" s="34"/>
      <x:c r="P202" s="34"/>
      <x:c r="Q202" s="35" t="str">
        <x:f>IF(B202="","",IF(I202&lt;&gt;"是","不通过",IF(O202&lt;&gt;"否","不通过",IF(H202="ANSWER",IF(AND(K202=2,L202=2,M202=2,N202=2),"通过","不通过"),IF(H202="CONFLICT",IF(AND(K202=2,L202=2,M202=2,N202=2,P202=2),"通过","不通过"),IF(H202="INSUFFICIENT_EVIDENCE","通过","待填写"))))))</x:f>
      </x:c>
      <x:c r="R202" s="34"/>
      <x:c r="S202" s="34"/>
      <x:c r="T202" s="34"/>
      <x:c r="U202" s="34"/>
      <x:c r="V202" s="34"/>
      <x:c r="W202" s="34"/>
      <x:c r="X202" s="34"/>
      <x:c r="Y202" s="34"/>
      <x:c r="Z202" s="34"/>
      <x:c r="AA202" s="34"/>
    </x:row>
    <x:row r="203" ht="34" customHeight="1">
      <x:c r="A203" s="34"/>
      <x:c r="B203" s="34"/>
      <x:c r="C203" s="34"/>
      <x:c r="D203" s="41"/>
      <x:c r="E203" s="34"/>
      <x:c r="F203" s="34"/>
      <x:c r="G203" s="34"/>
      <x:c r="H203" s="34"/>
      <x:c r="I203" s="35" t="str">
        <x:f>IF(B203="","",IF(COUNTIF('专家金标'!$A$5:$A$204,B203)=0,"未找到金标",IF(H203=INDEX('专家金标'!$J$5:$J$204,MATCH(B203,'专家金标'!$A$5:$A$204,0)),"是","否")))</x:f>
      </x:c>
      <x:c r="J203" s="34"/>
      <x:c r="K203" s="34"/>
      <x:c r="L203" s="34"/>
      <x:c r="M203" s="34"/>
      <x:c r="N203" s="34"/>
      <x:c r="O203" s="34"/>
      <x:c r="P203" s="34"/>
      <x:c r="Q203" s="35" t="str">
        <x:f>IF(B203="","",IF(I203&lt;&gt;"是","不通过",IF(O203&lt;&gt;"否","不通过",IF(H203="ANSWER",IF(AND(K203=2,L203=2,M203=2,N203=2),"通过","不通过"),IF(H203="CONFLICT",IF(AND(K203=2,L203=2,M203=2,N203=2,P203=2),"通过","不通过"),IF(H203="INSUFFICIENT_EVIDENCE","通过","待填写"))))))</x:f>
      </x:c>
      <x:c r="R203" s="34"/>
      <x:c r="S203" s="34"/>
      <x:c r="T203" s="34"/>
      <x:c r="U203" s="34"/>
      <x:c r="V203" s="34"/>
      <x:c r="W203" s="34"/>
      <x:c r="X203" s="34"/>
      <x:c r="Y203" s="34"/>
      <x:c r="Z203" s="34"/>
      <x:c r="AA203" s="34"/>
    </x:row>
    <x:row r="204" ht="34" customHeight="1">
      <x:c r="A204" s="34"/>
      <x:c r="B204" s="34"/>
      <x:c r="C204" s="34"/>
      <x:c r="D204" s="41"/>
      <x:c r="E204" s="34"/>
      <x:c r="F204" s="34"/>
      <x:c r="G204" s="34"/>
      <x:c r="H204" s="34"/>
      <x:c r="I204" s="35" t="str">
        <x:f>IF(B204="","",IF(COUNTIF('专家金标'!$A$5:$A$204,B204)=0,"未找到金标",IF(H204=INDEX('专家金标'!$J$5:$J$204,MATCH(B204,'专家金标'!$A$5:$A$204,0)),"是","否")))</x:f>
      </x:c>
      <x:c r="J204" s="34"/>
      <x:c r="K204" s="34"/>
      <x:c r="L204" s="34"/>
      <x:c r="M204" s="34"/>
      <x:c r="N204" s="34"/>
      <x:c r="O204" s="34"/>
      <x:c r="P204" s="34"/>
      <x:c r="Q204" s="35" t="str">
        <x:f>IF(B204="","",IF(I204&lt;&gt;"是","不通过",IF(O204&lt;&gt;"否","不通过",IF(H204="ANSWER",IF(AND(K204=2,L204=2,M204=2,N204=2),"通过","不通过"),IF(H204="CONFLICT",IF(AND(K204=2,L204=2,M204=2,N204=2,P204=2),"通过","不通过"),IF(H204="INSUFFICIENT_EVIDENCE","通过","待填写"))))))</x:f>
      </x:c>
      <x:c r="R204" s="34"/>
      <x:c r="S204" s="34"/>
      <x:c r="T204" s="34"/>
      <x:c r="U204" s="34"/>
      <x:c r="V204" s="34"/>
      <x:c r="W204" s="34"/>
      <x:c r="X204" s="34"/>
      <x:c r="Y204" s="34"/>
      <x:c r="Z204" s="34"/>
      <x:c r="AA204" s="34"/>
    </x:row>
  </x:sheetData>
  <x:conditionalFormatting sqref="Q5:Q204">
    <x:cfRule type="containsText" dxfId="15" priority="1" operator="containsText" text="通过"/>
    <x:cfRule type="containsText" dxfId="16" priority="2" operator="containsText" text="不通过"/>
  </x:conditionalFormatting>
  <x:dataValidations count="10">
    <x:dataValidation type="list" sqref="G5:G204">
      <x:formula1>"CURRENT,HISTORICAL"</x:formula1>
    </x:dataValidation>
    <x:dataValidation type="list" sqref="H5:H204">
      <x:formula1>"ANSWER,INSUFFICIENT_EVIDENCE,CONFLICT,ERROR"</x:formula1>
    </x:dataValidation>
    <x:dataValidation type="whole" operator="between" sqref="K5:K204">
      <x:formula1>0</x:formula1>
      <x:formula2>2</x:formula2>
    </x:dataValidation>
    <x:dataValidation type="whole" operator="between" sqref="L5:L204">
      <x:formula1>0</x:formula1>
      <x:formula2>2</x:formula2>
    </x:dataValidation>
    <x:dataValidation type="whole" operator="between" sqref="M5:M204">
      <x:formula1>0</x:formula1>
      <x:formula2>2</x:formula2>
    </x:dataValidation>
    <x:dataValidation type="whole" operator="between" sqref="N5:N204">
      <x:formula1>0</x:formula1>
      <x:formula2>2</x:formula2>
    </x:dataValidation>
    <x:dataValidation type="whole" operator="between" sqref="P5:P204">
      <x:formula1>0</x:formula1>
      <x:formula2>2</x:formula2>
    </x:dataValidation>
    <x:dataValidation type="list" sqref="O5:O204">
      <x:formula1>"否,是"</x:formula1>
    </x:dataValidation>
    <x:dataValidation type="list" sqref="R5:R204">
      <x:formula1>"无,检索遗漏,问题理解错误,状态错误,答案错误,答案不完整,引用不支撑,引用不完整,错误使用失效制度,冲突处理错误,接口错误,其他"</x:formula1>
    </x:dataValidation>
    <x:dataValidation type="list" sqref="U5:U204">
      <x:formula1>"rag_api_v1_1"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faa1f928d24523"/>
  </x:tableParts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4" hidden="0" customWidth="1"/>
    <x:col min="4" max="4" width="55" hidden="0" customWidth="1"/>
    <x:col min="5" max="5" width="3" hidden="0" customWidth="1"/>
    <x:col min="6" max="6" width="18" hidden="0" customWidth="1"/>
    <x:col min="7" max="7" width="18" hidden="0" customWidth="1"/>
    <x:col min="8" max="8" width="14" hidden="0" customWidth="1"/>
    <x:col min="9" max="9" width="45" hidden="0" customWidth="1"/>
    <x:col min="10" max="10" width="3" hidden="0" customWidth="1"/>
    <x:col min="11" max="11" width="30" hidden="0" customWidth="1"/>
    <x:col min="12" max="12" width="18" hidden="0" customWidth="1"/>
    <x:col min="13" max="13" width="14" hidden="0" customWidth="1"/>
    <x:col min="14" max="14" width="45" hidden="0" customWidth="1"/>
  </x:cols>
  <x:sheetData>
    <x:row r="1" ht="25" customHeight="1">
      <x:c r="A1" s="2" t="str">
        <x:v>首批配额建议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25" customHeight="1">
      <x:c r="A2" s="58" t="str">
        <x:v>先征集 150–180 条原始问题，复核去重后冻结 120 条金标。以下各表是不同维度的独立配额。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4" ht="36" customHeight="1">
      <x:c r="A4" s="59" t="str">
        <x:v>预期状态</x:v>
      </x:c>
      <x:c r="B4" s="59" t="str">
        <x:v>正式金标数</x:v>
      </x:c>
      <x:c r="C4" s="59" t="str">
        <x:v>占比</x:v>
      </x:c>
      <x:c r="D4" s="59" t="str">
        <x:v>重点</x:v>
      </x:c>
      <x:c r="E4" s="10"/>
      <x:c r="F4" s="59" t="str">
        <x:v>难度</x:v>
      </x:c>
      <x:c r="G4" s="59" t="str">
        <x:v>正式金标数</x:v>
      </x:c>
      <x:c r="H4" s="59" t="str">
        <x:v>占比</x:v>
      </x:c>
      <x:c r="I4" s="59" t="str">
        <x:v>判断参考</x:v>
      </x:c>
      <x:c r="J4" s="10"/>
      <x:c r="K4" s="59" t="str">
        <x:v>员工表达方式</x:v>
      </x:c>
      <x:c r="L4" s="59" t="str">
        <x:v>建议数量</x:v>
      </x:c>
      <x:c r="M4" s="59" t="str">
        <x:v>占比</x:v>
      </x:c>
      <x:c r="N4" s="59" t="str">
        <x:v>说明</x:v>
      </x:c>
    </x:row>
    <x:row r="5">
      <x:c r="A5" s="13" t="str">
        <x:v>ANSWER</x:v>
      </x:c>
      <x:c r="B5" s="13" t="n">
        <x:v>70</x:v>
      </x:c>
      <x:c r="C5" s="46" t="n">
        <x:f>B5/SUM($B$5:$B$7)</x:f>
        <x:v>0.5833333333333334</x:v>
      </x:c>
      <x:c r="D5" s="13" t="str">
        <x:v>单条款、多条款、跨制度、条件例外、职责、流程、时限、数值、表格和计算</x:v>
      </x:c>
      <x:c r="E5" s="10"/>
      <x:c r="F5" s="13" t="str">
        <x:v>简单</x:v>
      </x:c>
      <x:c r="G5" s="13" t="n">
        <x:v>30</x:v>
      </x:c>
      <x:c r="H5" s="46" t="n">
        <x:f>G5/SUM($G$5:$G$7)</x:f>
        <x:v>0.25</x:v>
      </x:c>
      <x:c r="I5" s="13" t="str">
        <x:v>单条款直接事实，条件明确</x:v>
      </x:c>
      <x:c r="J5" s="10"/>
      <x:c r="K5" s="13" t="str">
        <x:v>自然完整口语</x:v>
      </x:c>
      <x:c r="L5" s="13" t="n">
        <x:v>70</x:v>
      </x:c>
      <x:c r="M5" s="46" t="n">
        <x:f>L5/SUM($L$5:$L$8)</x:f>
        <x:v>0.5833333333333334</x:v>
      </x:c>
      <x:c r="N5" s="13" t="str">
        <x:v>真实工作提问，条件相对完整</x:v>
      </x:c>
    </x:row>
    <x:row r="6">
      <x:c r="A6" s="14" t="str">
        <x:v>INSUFFICIENT_EVIDENCE</x:v>
      </x:c>
      <x:c r="B6" s="14" t="n">
        <x:v>30</x:v>
      </x:c>
      <x:c r="C6" s="47" t="n">
        <x:f>B6/SUM($B$5:$B$7)</x:f>
        <x:v>0.25</x:v>
      </x:c>
      <x:c r="D6" s="14" t="str">
        <x:v>制度未规定、缺少条件、库外事项、失效或隔离资料、人工裁量</x:v>
      </x:c>
      <x:c r="E6" s="10"/>
      <x:c r="F6" s="14" t="str">
        <x:v>中等</x:v>
      </x:c>
      <x:c r="G6" s="14" t="n">
        <x:v>50</x:v>
      </x:c>
      <x:c r="H6" s="47" t="n">
        <x:f>G6/SUM($G$5:$G$7)</x:f>
        <x:v>0.4166666666666667</x:v>
      </x:c>
      <x:c r="I6" s="14" t="str">
        <x:v>两个关键点、同制度跨条款或包含条件</x:v>
      </x:c>
      <x:c r="J6" s="10"/>
      <x:c r="K6" s="14" t="str">
        <x:v>省略或连续追问</x:v>
      </x:c>
      <x:c r="L6" s="14" t="n">
        <x:v>25</x:v>
      </x:c>
      <x:c r="M6" s="47" t="n">
        <x:f>L6/SUM($L$5:$L$8)</x:f>
        <x:v>0.20833333333333334</x:v>
      </x:c>
      <x:c r="N6" s="14" t="str">
        <x:v>依赖前文或省略主语，但仍可理解</x:v>
      </x:c>
    </x:row>
    <x:row r="7">
      <x:c r="A7" s="14" t="str">
        <x:v>CONFLICT</x:v>
      </x:c>
      <x:c r="B7" s="14" t="n">
        <x:v>20</x:v>
      </x:c>
      <x:c r="C7" s="47" t="n">
        <x:f>B7/SUM($B$5:$B$7)</x:f>
        <x:v>0.16666666666666666</x:v>
      </x:c>
      <x:c r="D7" s="14" t="str">
        <x:v>只收录真实冲突或适用范围差异，每个立场都要有证据</x:v>
      </x:c>
      <x:c r="E7" s="10"/>
      <x:c r="F7" s="14" t="str">
        <x:v>困难</x:v>
      </x:c>
      <x:c r="G7" s="14" t="n">
        <x:v>40</x:v>
      </x:c>
      <x:c r="H7" s="47" t="n">
        <x:f>G7/SUM($G$5:$G$7)</x:f>
        <x:v>0.3333333333333333</x:v>
      </x:c>
      <x:c r="I7" s="14" t="str">
        <x:v>跨制度、多条件、例外、计算、比较或冲突</x:v>
      </x:c>
      <x:c r="J7" s="10"/>
      <x:c r="K7" s="14" t="str">
        <x:v>简称、别名或常见错别字</x:v>
      </x:c>
      <x:c r="L7" s="14" t="n">
        <x:v>15</x:v>
      </x:c>
      <x:c r="M7" s="47" t="n">
        <x:f>L7/SUM($L$5:$L$8)</x:f>
        <x:v>0.125</x:v>
      </x:c>
      <x:c r="N7" s="14" t="str">
        <x:v>保留真实输入噪声，不故意制造乱码</x:v>
      </x:c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4" t="str">
        <x:v>正式制度问法</x:v>
      </x:c>
      <x:c r="L8" s="14" t="n">
        <x:v>10</x:v>
      </x:c>
      <x:c r="M8" s="47" t="n">
        <x:f>L8/SUM($L$5:$L$8)</x:f>
        <x:v>0.08333333333333333</x:v>
      </x:c>
      <x:c r="N8" s="14" t="str">
        <x:v>用于维持标准表达基线</x:v>
      </x:c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</x:row>
    <x:row r="10">
      <x:c r="A10" s="60" t="str">
        <x:v>覆盖与组织建议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</x:row>
    <x:row r="11">
      <x:c r="A11" s="51" t="str">
        <x:v>制度覆盖</x:v>
      </x:c>
      <x:c r="B11" s="50" t="str">
        <x:v>每份有效制度至少 3 题；高频制度按真实咨询量增加，不机械平均。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</x:row>
    <x:row r="12">
      <x:c r="A12" s="51" t="str">
        <x:v>原始征集量</x:v>
      </x:c>
      <x:c r="B12" s="50" t="str">
        <x:v>正式目标 120 题时，建议先收 150–180 条，为重复、证据不足和不合格题预留空间。</x:v>
      </x:c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</x:row>
    <x:row r="13">
      <x:c r="A13" s="51" t="str">
        <x:v>数据分区</x:v>
      </x:c>
      <x:c r="B13" s="50" t="str">
        <x:v>合格题建议按 50% DEV、30% HOLDOUT、20% REGRESSION 种子分配；PERF 从稳定题中另行引用案例 ID。</x:v>
      </x:c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</x:row>
    <x:row r="14">
      <x:c r="A14" s="51" t="str">
        <x:v>复核</x:v>
      </x:c>
      <x:c r="B14" s="50" t="str">
        <x:v>普通题至少由一名非出题人复核；冲突题至少由两名业务人员复核。</x:v>
      </x:c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</x:row>
    <x:row r="15">
      <x:c r="A15" s="51" t="str">
        <x:v>版本</x:v>
      </x:c>
      <x:c r="B15" s="50" t="str">
        <x:v>制度变更后新建数据集版本，不覆盖旧金标；保留适用日期、制度状态、公开 run ID 和证据快照。</x:v>
      </x:c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0" hidden="0" customWidth="1"/>
    <x:col min="3" max="3" width="18" hidden="0" customWidth="1"/>
    <x:col min="4" max="4" width="55" hidden="0" customWidth="1"/>
    <x:col min="5" max="5" width="45" hidden="0" customWidth="1"/>
    <x:col min="6" max="6" width="55" hidden="0" customWidth="1"/>
  </x:cols>
  <x:sheetData>
    <x:row r="1" ht="25" customHeight="1">
      <x:c r="A1" s="2" t="str">
        <x:v>字段字典与评分口径</x:v>
      </x:c>
      <x:c r="B1" s="57"/>
      <x:c r="C1" s="57"/>
      <x:c r="D1" s="57"/>
      <x:c r="E1" s="57"/>
      <x:c r="F1" s="57"/>
    </x:row>
    <x:row r="2" ht="25" customHeight="1">
      <x:c r="A2" s="58" t="str">
        <x:v>用于统一人工标注。字段留空不等于零，无法判断时应退回复核。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 ht="36" customHeight="1">
      <x:c r="A4" s="59" t="str">
        <x:v>字段或枚举</x:v>
      </x:c>
      <x:c r="B4" s="59" t="str">
        <x:v>允许值</x:v>
      </x:c>
      <x:c r="C4" s="59" t="str">
        <x:v>填写人</x:v>
      </x:c>
      <x:c r="D4" s="59" t="str">
        <x:v>定义</x:v>
      </x:c>
      <x:c r="E4" s="59" t="str">
        <x:v>示例</x:v>
      </x:c>
      <x:c r="F4" s="59" t="str">
        <x:v>注意事项</x:v>
      </x:c>
    </x:row>
    <x:row r="5">
      <x:c r="A5" s="13" t="str">
        <x:v>expected_status</x:v>
      </x:c>
      <x:c r="B5" s="13" t="str">
        <x:v>ANSWER</x:v>
      </x:c>
      <x:c r="C5" s="13" t="str">
        <x:v>业务专家</x:v>
      </x:c>
      <x:c r="D5" s="13" t="str">
        <x:v>现有有效证据足以回答问题</x:v>
      </x:c>
      <x:c r="E5" s="13" t="str">
        <x:v>职责、流程、时限或条件均有证据</x:v>
      </x:c>
      <x:c r="F5" s="13" t="str">
        <x:v>每个必答关键点都需要证据</x:v>
      </x:c>
    </x:row>
    <x:row r="6">
      <x:c r="A6" s="14" t="str">
        <x:v>expected_status</x:v>
      </x:c>
      <x:c r="B6" s="14" t="str">
        <x:v>INSUFFICIENT_EVIDENCE</x:v>
      </x:c>
      <x:c r="C6" s="14" t="str">
        <x:v>业务专家</x:v>
      </x:c>
      <x:c r="D6" s="14" t="str">
        <x:v>制度库不足以形成确定结论</x:v>
      </x:c>
      <x:c r="E6" s="14" t="str">
        <x:v>制度只写达到使用年限，但没有写具体年数</x:v>
      </x:c>
      <x:c r="F6" s="14" t="str">
        <x:v>不能只看相似度分数</x:v>
      </x:c>
    </x:row>
    <x:row r="7">
      <x:c r="A7" s="14" t="str">
        <x:v>expected_status</x:v>
      </x:c>
      <x:c r="B7" s="14" t="str">
        <x:v>CONFLICT</x:v>
      </x:c>
      <x:c r="C7" s="14" t="str">
        <x:v>业务专家</x:v>
      </x:c>
      <x:c r="D7" s="14" t="str">
        <x:v>至少两个真实立场均有证据，且无法直接按效力或范围消解</x:v>
      </x:c>
      <x:c r="E7" s="14" t="str">
        <x:v>两份现行规定对同一事项给出不同要求</x:v>
      </x:c>
      <x:c r="F7" s="14" t="str">
        <x:v>不能虚构；每方都要有 Citation</x:v>
      </x:c>
    </x:row>
    <x:row r="8">
      <x:c r="A8" s="14" t="str">
        <x:v>query_scope</x:v>
      </x:c>
      <x:c r="B8" s="14" t="str">
        <x:v>CURRENT</x:v>
      </x:c>
      <x:c r="C8" s="14" t="str">
        <x:v>业务专家</x:v>
      </x:c>
      <x:c r="D8" s="14" t="str">
        <x:v>只按当前有效制度回答</x:v>
      </x:c>
      <x:c r="E8" s="14" t="str">
        <x:v>现在应该怎样办理</x:v>
      </x:c>
      <x:c r="F8" s="14" t="str">
        <x:v>默认使用 CURRENT</x:v>
      </x:c>
    </x:row>
    <x:row r="9">
      <x:c r="A9" s="14" t="str">
        <x:v>query_scope</x:v>
      </x:c>
      <x:c r="B9" s="14" t="str">
        <x:v>HISTORICAL</x:v>
      </x:c>
      <x:c r="C9" s="14" t="str">
        <x:v>业务专家</x:v>
      </x:c>
      <x:c r="D9" s="14" t="str">
        <x:v>允许查询历史版本</x:v>
      </x:c>
      <x:c r="E9" s="14" t="str">
        <x:v>2024 年当时如何办理</x:v>
      </x:c>
      <x:c r="F9" s="14" t="str">
        <x:v>必须写清历史时间点</x:v>
      </x:c>
    </x:row>
    <x:row r="10">
      <x:c r="A10" s="14" t="str">
        <x:v>evidence_match_mode</x:v>
      </x:c>
      <x:c r="B10" s="14" t="str">
        <x:v>any</x:v>
      </x:c>
      <x:c r="C10" s="14" t="str">
        <x:v>业务专家</x:v>
      </x:c>
      <x:c r="D10" s="14" t="str">
        <x:v>任一标注证据可完整支持该关键点</x:v>
      </x:c>
      <x:c r="E10" s="14" t="str">
        <x:v>同一规定在正文和附件重复出现</x:v>
      </x:c>
      <x:c r="F10" s="14" t="str">
        <x:v>不是降低证据完整性要求</x:v>
      </x:c>
    </x:row>
    <x:row r="11">
      <x:c r="A11" s="14" t="str">
        <x:v>evidence_match_mode</x:v>
      </x:c>
      <x:c r="B11" s="14" t="str">
        <x:v>all</x:v>
      </x:c>
      <x:c r="C11" s="14" t="str">
        <x:v>业务专家</x:v>
      </x:c>
      <x:c r="D11" s="14" t="str">
        <x:v>全部标注证据共同构成完整答案</x:v>
      </x:c>
      <x:c r="E11" s="14" t="str">
        <x:v>跨条款的条件和例外</x:v>
      </x:c>
      <x:c r="F11" s="14" t="str">
        <x:v>适合多证据问题</x:v>
      </x:c>
    </x:row>
    <x:row r="12">
      <x:c r="A12" s="14" t="str">
        <x:v>evidence_match_mode</x:v>
      </x:c>
      <x:c r="B12" s="14" t="str">
        <x:v>not_applicable</x:v>
      </x:c>
      <x:c r="C12" s="14" t="str">
        <x:v>业务专家</x:v>
      </x:c>
      <x:c r="D12" s="14" t="str">
        <x:v>证据不足题没有正向充分证据</x:v>
      </x:c>
      <x:c r="E12" s="14" t="str">
        <x:v>库外事实</x:v>
      </x:c>
      <x:c r="F12" s="14" t="str">
        <x:v>可另标 near_miss 证据</x:v>
      </x:c>
    </x:row>
    <x:row r="13">
      <x:c r="A13" s="14" t="str">
        <x:v>必答关键点</x:v>
      </x:c>
      <x:c r="B13" s="14" t="str">
        <x:v>自由文本，建议分号分隔</x:v>
      </x:c>
      <x:c r="C13" s="14" t="str">
        <x:v>业务专家</x:v>
      </x:c>
      <x:c r="D13" s="14" t="str">
        <x:v>直接回答用户问题不可缺少的结论</x:v>
      </x:c>
      <x:c r="E13" s="14" t="str">
        <x:v>主体；时限；适用条件</x:v>
      </x:c>
      <x:c r="F13" s="14" t="str">
        <x:v>同条款扩展信息放入可选补充点</x:v>
      </x:c>
    </x:row>
    <x:row r="14">
      <x:c r="A14" s="14" t="str">
        <x:v>禁止输出点</x:v>
      </x:c>
      <x:c r="B14" s="14" t="str">
        <x:v>自由文本</x:v>
      </x:c>
      <x:c r="C14" s="14" t="str">
        <x:v>业务专家</x:v>
      </x:c>
      <x:c r="D14" s="14" t="str">
        <x:v>容易被模型错误扩大、误算或猜测的结论</x:v>
      </x:c>
      <x:c r="E14" s="14" t="str">
        <x:v>不得把“可使用”写成“必须配备”</x:v>
      </x:c>
      <x:c r="F14" s="14" t="str">
        <x:v>用于检查义务强度和幻觉</x:v>
      </x:c>
    </x:row>
    <x:row r="15">
      <x:c r="A15" s="14" t="str">
        <x:v>key_point_score</x:v>
      </x:c>
      <x:c r="B15" s="14" t="str">
        <x:v>0/1/2</x:v>
      </x:c>
      <x:c r="C15" s="14" t="str">
        <x:v>测试人员</x:v>
      </x:c>
      <x:c r="D15" s="14" t="str">
        <x:v>关键点错误或缺失/部分覆盖/完整覆盖</x:v>
      </x:c>
      <x:c r="E15" s="14" t="n">
        <x:v>2</x:v>
      </x:c>
      <x:c r="F15" s="14" t="str">
        <x:v>按问题范围评分，不要求无关扩展</x:v>
      </x:c>
    </x:row>
    <x:row r="16">
      <x:c r="A16" s="14" t="str">
        <x:v>evidence_support_score</x:v>
      </x:c>
      <x:c r="B16" s="14" t="str">
        <x:v>0/1/2</x:v>
      </x:c>
      <x:c r="C16" s="14" t="str">
        <x:v>测试人员</x:v>
      </x:c>
      <x:c r="D16" s="14" t="str">
        <x:v>引用不支撑/部分支撑/全部关键结论均支撑</x:v>
      </x:c>
      <x:c r="E16" s="14" t="n">
        <x:v>2</x:v>
      </x:c>
      <x:c r="F16" s="14" t="str">
        <x:v>出现无支撑关键结论即为硬失败</x:v>
      </x:c>
    </x:row>
    <x:row r="17">
      <x:c r="A17" s="14" t="str">
        <x:v>citation_completeness_score</x:v>
      </x:c>
      <x:c r="B17" s="14" t="str">
        <x:v>0/1/2</x:v>
      </x:c>
      <x:c r="C17" s="14" t="str">
        <x:v>测试人员</x:v>
      </x:c>
      <x:c r="D17" s="14" t="str">
        <x:v>缺少/部分/完整覆盖全部必答关键点</x:v>
      </x:c>
      <x:c r="E17" s="14" t="n">
        <x:v>2</x:v>
      </x:c>
      <x:c r="F17" s="14" t="str">
        <x:v>多证据题重点检查 all</x:v>
      </x:c>
    </x:row>
    <x:row r="18">
      <x:c r="A18" s="14" t="str">
        <x:v>citation_location_score</x:v>
      </x:c>
      <x:c r="B18" s="14" t="str">
        <x:v>0/1/2</x:v>
      </x:c>
      <x:c r="C18" s="14" t="str">
        <x:v>测试人员</x:v>
      </x:c>
      <x:c r="D18" s="14" t="str">
        <x:v>无法定位/部分可定位/制度、Node、页码和快照均可定位</x:v>
      </x:c>
      <x:c r="E18" s="14" t="n">
        <x:v>2</x:v>
      </x:c>
      <x:c r="F18" s="14" t="str">
        <x:v>以公开 Citation 字段为准</x:v>
      </x:c>
    </x:row>
    <x:row r="19">
      <x:c r="A19" s="14" t="str">
        <x:v>conflict_bilateral_score</x:v>
      </x:c>
      <x:c r="B19" s="14" t="str">
        <x:v>0/1/2</x:v>
      </x:c>
      <x:c r="C19" s="14" t="str">
        <x:v>测试人员</x:v>
      </x:c>
      <x:c r="D19" s="14" t="str">
        <x:v>未展示双方/仅一方有证据/双方立场和证据完整</x:v>
      </x:c>
      <x:c r="E19" s="14" t="n">
        <x:v>2</x:v>
      </x:c>
      <x:c r="F19" s="14" t="str">
        <x:v>仅 CONFLICT 题填写</x:v>
      </x:c>
    </x:row>
    <x:row r="20">
      <x:c r="A20" s="14" t="str">
        <x:v>hallucination</x:v>
      </x:c>
      <x:c r="B20" s="14" t="str">
        <x:v>否/是</x:v>
      </x:c>
      <x:c r="C20" s="14" t="str">
        <x:v>测试人员</x:v>
      </x:c>
      <x:c r="D20" s="14" t="str">
        <x:v>是否出现证据中不存在的具体结论</x:v>
      </x:c>
      <x:c r="E20" s="14" t="str">
        <x:v>否</x:v>
      </x:c>
      <x:c r="F20" s="14" t="str">
        <x:v>金额、日期、主体和义务强度需重点检查</x:v>
      </x:c>
    </x:row>
    <x:row r="21">
      <x:c r="A21" s="14" t="str">
        <x:v>quality_gate_version</x:v>
      </x:c>
      <x:c r="B21" s="14" t="str">
        <x:v>响应实际值</x:v>
      </x:c>
      <x:c r="C21" s="14" t="str">
        <x:v>测试人员</x:v>
      </x:c>
      <x:c r="D21" s="14" t="str">
        <x:v>公开响应中的质量门禁版本</x:v>
      </x:c>
      <x:c r="E21" s="14" t="str">
        <x:v>answer_quality_gate_v2</x:v>
      </x:c>
      <x:c r="F21" s="14" t="str">
        <x:v>不得在模板或程序中写死</x:v>
      </x:c>
    </x:row>
    <x:row r="22">
      <x:c r="A22" s="14" t="str">
        <x:v>公开 Citation 字段</x:v>
      </x:c>
      <x:c r="B22" s="14" t="str">
        <x:v>版本化字段</x:v>
      </x:c>
      <x:c r="C22" s="14" t="str">
        <x:v>系统或研发</x:v>
      </x:c>
      <x:c r="D22" s="14" t="str">
        <x:v>citation_version、evidence_uid_version、document_id、primary_node_id、run ID、quote 和 snapshot_hash</x:v>
      </x:c>
      <x:c r="E22" s="14" t="str">
        <x:v>citation_v1</x:v>
      </x:c>
      <x:c r="F22" s="14" t="str">
        <x:v>不依赖受控 debug 字段</x:v>
      </x:c>
    </x:row>
  </x:sheetData>
  <x:pageMargins left="0.7" right="0.7" top="0.75" bottom="0.75" header="0.3" footer="0.3"/>
  <x:tableParts count="1">
    <x:tablePart xmlns:r="http://schemas.openxmlformats.org/officeDocument/2006/relationships" r:id="Rb7505998004f43fb"/>
  </x:tableParts>
</x:worksheet>
</file>